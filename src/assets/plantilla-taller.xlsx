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LÉEME" sheetId="1" state="visible" r:id="rId3"/>
    <sheet name="DIARIO" sheetId="2" state="visible" r:id="rId4"/>
    <sheet name="UBICACIONES" sheetId="3" state="visible" r:id="rId5"/>
    <sheet name="PARÁMETROS" sheetId="4" state="visible" r:id="rId6"/>
    <sheet name="SALDOS" sheetId="5" state="visible" r:id="rId7"/>
    <sheet name="FIFO" sheetId="6" state="visible" r:id="rId8"/>
    <sheet name="CUADRE"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<sst xmlns="http://schemas.openxmlformats.org/spreadsheetml/2006/main" count="254" uniqueCount="186">
  <si>
    <t xml:space="preserve">PLANTILLA DEL TALLER — Contabilidad, Trazabilidad y Fiscalidad en Bitcoin · U. de las Hespérides · Ed. 2026</t>
  </si>
  <si>
    <t xml:space="preserve">1.</t>
  </si>
  <si>
    <t xml:space="preserve">Seis hojas: tres se rellenan a mano (DIARIO, UBICACIONES, PARÁMETROS) y tres se calculan solas (SALDOS, FIFO, CUADRE). No escriba en las automáticas salvo en sus celdas amarillas.</t>
  </si>
  <si>
    <t xml:space="preserve">2.</t>
  </si>
  <si>
    <t xml:space="preserve">Las celdas AMARILLAS son las únicas de entrada en las hojas automáticas (fecha de corte, activo de la cola, saldo real declarado, tolerancias, catálogo de activos).</t>
  </si>
  <si>
    <t xml:space="preserve">3.</t>
  </si>
  <si>
    <t xml:space="preserve">Orden de trabajo: dé de alta sus UBICACIONES → revise PARÁMETROS (una sola vez) → cargue el DIARIO → cuadre. Regla de secuencia (Unidad 5): cargar → cuadrar → clasificar.</t>
  </si>
  <si>
    <t xml:space="preserve">4.</t>
  </si>
  <si>
    <t xml:space="preserve">DIARIO: una línea por movimiento, gravable o no (principio 1: integridad). El Tipo se elige del catálogo cerrado; las ubicaciones, de los desplegables. «EXTERIOR» = fuera del patrimonio propio.</t>
  </si>
  <si>
    <t xml:space="preserve">5.</t>
  </si>
  <si>
    <t xml:space="preserve">La comisión va SIEMPRE en su columna, nunca embebida. Convención del taller: se descuenta en la ubicación de ORIGEN (si el origen es EXTERIOR, en la de destino). Véase PARÁMETROS.</t>
  </si>
  <si>
    <t xml:space="preserve">6.</t>
  </si>
  <si>
    <t xml:space="preserve">Contravalor EUR solo en operaciones-frontera (compra, venta, permuta, rendimiento, pago), con la fuente de la cotización en Notas. Los movimientos internos no lo llevan.</t>
  </si>
  <si>
    <t xml:space="preserve">7.</t>
  </si>
  <si>
    <t xml:space="preserve">Ningún apunte sin justificante: referencia a la carpeta del ejercicio (01–06) o txid. Un apunte sin justificante es una afirmación sin prueba (principio 6).</t>
  </si>
  <si>
    <t xml:space="preserve">8.</t>
  </si>
  <si>
    <t xml:space="preserve">No borre ni edite apuntes ya cargados: corrija con un apunte AJUSTE/RECTIFICACIÓN que cite en «Notas / rectifica a» el nº del apunte corregido (principio 7).</t>
  </si>
  <si>
    <t xml:space="preserve">9.</t>
  </si>
  <si>
    <t xml:space="preserve">SALDOS: elija la fecha de corte en la celda amarilla. Un saldo en ROJO es un saldo negativo: se vendió o transfirió lo que no consta adquirido («venta sin origen», Unidad 7).</t>
  </si>
  <si>
    <t xml:space="preserve">10.</t>
  </si>
  <si>
    <t xml:space="preserve">FIFO: elija el activo de la cola (por defecto BTC). Exige el DIARIO en orden cronológico. La comisión de adquisición en EUR SUMA al coste del lote; la de venta MINORA el valor de transmisión.</t>
  </si>
  <si>
    <t xml:space="preserve">11.</t>
  </si>
  <si>
    <t xml:space="preserve">Las columnas rotuladas AUXILIAR (en gris, hoja FIFO) sostienen el cálculo: no las toque ni las borre.</t>
  </si>
  <si>
    <t xml:space="preserve">12.</t>
  </si>
  <si>
    <t xml:space="preserve">CUADRE: teclee el «saldo real declarado» que muestra cada exchange/wallet/canal a la fecha de corte. Semáforo: verde OK · ámbar REVISAR · rojo ERROR, con tolerancias configurables en PARÁMETROS.</t>
  </si>
  <si>
    <t xml:space="preserve">13.</t>
  </si>
  <si>
    <t xml:space="preserve">Convenciones (Unidad 5): todo en hora local española; BTC siempre con 8 decimales; cuidado con los CSV anglosajones (punto decimal leído como miles convierte 0.5 BTC en 5 BTC).</t>
  </si>
  <si>
    <t xml:space="preserve">14.</t>
  </si>
  <si>
    <t xml:space="preserve">Con las filas de ejemplo cargadas, el saldo EUR de Exchange-A sale en ROJO (−20.030): falta el ingreso previo de euros. Es deliberado: ilustra la alerta de saldo negativo.</t>
  </si>
  <si>
    <t xml:space="preserve">15.</t>
  </si>
  <si>
    <t xml:space="preserve">Remisiones: método U4 · carga y cuadre U5 · catálogo y FIFO U6 · depuración U7 · eventos U8 (Anexo B) · IRPF U9 (Anexo C) · cierre U10 (Anexo D).</t>
  </si>
  <si>
    <t xml:space="preserve">ADVERTENCIA: las filas marcadas «EJEMPLO — borrar» (en DIARIO, UBICACIONES y CUADRE) son las de la Tabla 4 del manual. Bórrelas antes de cargar datos reales.</t>
  </si>
  <si>
    <t xml:space="preserve">Nº</t>
  </si>
  <si>
    <t xml:space="preserve">Fecha y hora</t>
  </si>
  <si>
    <t xml:space="preserve">Tipo</t>
  </si>
  <si>
    <t xml:space="preserve">Ubicación origen</t>
  </si>
  <si>
    <t xml:space="preserve">Ubicación destino</t>
  </si>
  <si>
    <t xml:space="preserve">Activo salida / cantidad</t>
  </si>
  <si>
    <t xml:space="preserve">Activo entrada / cantidad</t>
  </si>
  <si>
    <t xml:space="preserve">Comisión / activo</t>
  </si>
  <si>
    <t xml:space="preserve">Contravalor EUR</t>
  </si>
  <si>
    <t xml:space="preserve">Justificante</t>
  </si>
  <si>
    <t xml:space="preserve">Notas / rectifica a</t>
  </si>
  <si>
    <t xml:space="preserve">Activo</t>
  </si>
  <si>
    <t xml:space="preserve">Cantidad</t>
  </si>
  <si>
    <t xml:space="preserve">2026-001</t>
  </si>
  <si>
    <t xml:space="preserve">COMPRA</t>
  </si>
  <si>
    <t xml:space="preserve">Exchange-A</t>
  </si>
  <si>
    <t xml:space="preserve">EUR</t>
  </si>
  <si>
    <t xml:space="preserve">BTC</t>
  </si>
  <si>
    <t xml:space="preserve">01-adquisiciones/orden-exchA-2026-001.pdf</t>
  </si>
  <si>
    <t xml:space="preserve">EJEMPLO — borrar · cotización: Exchange-A</t>
  </si>
  <si>
    <t xml:space="preserve">2026-002</t>
  </si>
  <si>
    <t xml:space="preserve">TRANSFERENCIA</t>
  </si>
  <si>
    <t xml:space="preserve">Wallet-Fría</t>
  </si>
  <si>
    <t xml:space="preserve">02-transferencias/txid-a1b2c3.txt</t>
  </si>
  <si>
    <t xml:space="preserve">EJEMPLO — borrar · sin frontera: sin contravalor</t>
  </si>
  <si>
    <t xml:space="preserve">2026-003</t>
  </si>
  <si>
    <t xml:space="preserve">RENDIMIENTO</t>
  </si>
  <si>
    <t xml:space="preserve">EXTERIOR</t>
  </si>
  <si>
    <t xml:space="preserve">04-rendimientos/staking-2026-03.pdf</t>
  </si>
  <si>
    <t xml:space="preserve">EJEMPLO — borrar · cotización del día (fuente citada)</t>
  </si>
  <si>
    <t xml:space="preserve">UBICACIONES — alta de cada exchange, wallet o canal (principio 3: todo saldo tiene ubicación)</t>
  </si>
  <si>
    <t xml:space="preserve">Una fila por ubicación. SALDOS y CUADRE cubren las 10 primeras. La columna H alimenta los desplegables del DIARIO (no tocar).</t>
  </si>
  <si>
    <t xml:space="preserve">Nombre</t>
  </si>
  <si>
    <t xml:space="preserve">Tipo (exchange / wallet / canal)</t>
  </si>
  <si>
    <t xml:space="preserve">KYC (sí / no)</t>
  </si>
  <si>
    <t xml:space="preserve">Fecha de alta</t>
  </si>
  <si>
    <t xml:space="preserve">Fecha de cierre</t>
  </si>
  <si>
    <t xml:space="preserve">Notas</t>
  </si>
  <si>
    <t xml:space="preserve">Lista desplegables (no tocar)</t>
  </si>
  <si>
    <t xml:space="preserve">exchange</t>
  </si>
  <si>
    <t xml:space="preserve">sí</t>
  </si>
  <si>
    <t xml:space="preserve">EJEMPLO — borrar</t>
  </si>
  <si>
    <t xml:space="preserve">wallet</t>
  </si>
  <si>
    <t xml:space="preserve">no</t>
  </si>
  <si>
    <t xml:space="preserve">Canal-LN</t>
  </si>
  <si>
    <t xml:space="preserve">canal</t>
  </si>
  <si>
    <t xml:space="preserve">PARÁMETROS — catálogo cerrado de tipos y convenciones del taller (se rellena UNA vez)</t>
  </si>
  <si>
    <t xml:space="preserve">1. Catálogo CERRADO de tipos de operación (Unidad 6, Tabla 7). La columna Tipo del DIARIO solo admite estos once valores.</t>
  </si>
  <si>
    <t xml:space="preserve">¿Cuadra? (¿salida y entrada equivalentes?)</t>
  </si>
  <si>
    <t xml:space="preserve">¿Alteración patrimonial?</t>
  </si>
  <si>
    <t xml:space="preserve">¿Abre lote FIFO?</t>
  </si>
  <si>
    <t xml:space="preserve">¿Consume lote FIFO?</t>
  </si>
  <si>
    <t xml:space="preserve">Calificación fiscal (remisión al Manual de Fiscalidad)</t>
  </si>
  <si>
    <t xml:space="preserve">Nota contable</t>
  </si>
  <si>
    <t xml:space="preserve">Sí</t>
  </si>
  <si>
    <t xml:space="preserve">No (cambia composición)</t>
  </si>
  <si>
    <t xml:space="preserve">No</t>
  </si>
  <si>
    <t xml:space="preserve">Sin hecho imponible; fija lote FIFO (T3)</t>
  </si>
  <si>
    <t xml:space="preserve">Comisión de compra: se suma al coste del lote</t>
  </si>
  <si>
    <t xml:space="preserve">VENTA</t>
  </si>
  <si>
    <t xml:space="preserve">Ganancia/pérdida patrimonial, base del ahorro (T2-T3)</t>
  </si>
  <si>
    <t xml:space="preserve">Comisión de venta: minora el valor de transmisión</t>
  </si>
  <si>
    <t xml:space="preserve">PERMUTA</t>
  </si>
  <si>
    <t xml:space="preserve">Alteración patrimonial: se transmite lo entregado (T3)</t>
  </si>
  <si>
    <t xml:space="preserve">El activo recibido nace como lote nuevo a valor de mercado</t>
  </si>
  <si>
    <t xml:space="preserve">Sí (mismo activo ±comisión)</t>
  </si>
  <si>
    <t xml:space="preserve">Sin hecho imponible</t>
  </si>
  <si>
    <t xml:space="preserve">La comisión de red sí sale del patrimonio: se registra siempre (T3)</t>
  </si>
  <si>
    <t xml:space="preserve">No (entra sin salir)</t>
  </si>
  <si>
    <t xml:space="preserve">Sí (entra valor)</t>
  </si>
  <si>
    <t xml:space="preserve">RCM art. 25.2 LIRPF — DGT V1766-22 y V0612-26 (T3)</t>
  </si>
  <si>
    <t xml:space="preserve">El contravalor del día es ingreso y, a la vez, coste del lote nuevo</t>
  </si>
  <si>
    <t xml:space="preserve">MINERÍA</t>
  </si>
  <si>
    <t xml:space="preserve">Rendimiento de actividad económica (T3)</t>
  </si>
  <si>
    <t xml:space="preserve">Igual que RENDIMIENTO en lo contable; distinta casilla en Renta</t>
  </si>
  <si>
    <t xml:space="preserve">AIRDROP</t>
  </si>
  <si>
    <t xml:space="preserve">Ganancia patrimonial, base general — DGT 0018-23, no vinculante (T2)</t>
  </si>
  <si>
    <t xml:space="preserve">Lote nuevo a valor de mercado del día</t>
  </si>
  <si>
    <t xml:space="preserve">PAGO</t>
  </si>
  <si>
    <t xml:space="preserve">Sí (sale cripto, entra bien/servicio)</t>
  </si>
  <si>
    <t xml:space="preserve">Transmisión: alteración patrimonial (T3)</t>
  </si>
  <si>
    <t xml:space="preserve">Como una venta cuyo «precio» es la factura del bien recibido</t>
  </si>
  <si>
    <t xml:space="preserve">PÉRDIDA</t>
  </si>
  <si>
    <t xml:space="preserve">No (solo salida)</t>
  </si>
  <si>
    <t xml:space="preserve">Pérdida patrimonial condicionada a requisitos y prueba — dualidad de criterios DGT (T2)</t>
  </si>
  <si>
    <t xml:space="preserve">Registrar siempre; deducir solo con el expediente que T2 exige</t>
  </si>
  <si>
    <t xml:space="preserve">DONACIÓN</t>
  </si>
  <si>
    <t xml:space="preserve">Según sentido</t>
  </si>
  <si>
    <t xml:space="preserve">Según (recibida: abre)</t>
  </si>
  <si>
    <t xml:space="preserve">Según (entregada: consume)</t>
  </si>
  <si>
    <t xml:space="preserve">Entregada: alteración en el donante (con límites); recibida: ISD (T1-T2)</t>
  </si>
  <si>
    <t xml:space="preserve">Documento de donación como justificante; fija valor y fecha del receptor</t>
  </si>
  <si>
    <t xml:space="preserve">AJUSTE/RECTIFICACIÓN</t>
  </si>
  <si>
    <t xml:space="preserve">Según el caso</t>
  </si>
  <si>
    <t xml:space="preserve">—</t>
  </si>
  <si>
    <t xml:space="preserve">Solo con referencia al apunte corregido y nota de causa (principio 7)</t>
  </si>
  <si>
    <t xml:space="preserve">Nota: los valores «Según…» exigen decisión manual; SALDOS y FIFO solo automatizan los tipos con «Sí»/«No» inequívoco. Una DONACIÓN o un AJUSTE se acompañan siempre de nota explicativa.</t>
  </si>
  <si>
    <t xml:space="preserve">2. Catálogo de activos (alimenta SALDOS, CUADRE y los desplegables de activo). Añada los suyos en las celdas amarillas.</t>
  </si>
  <si>
    <t xml:space="preserve">3. Convenciones del taller (Unidad 5) y tolerancias del CUADRE (celdas amarillas: configurables).</t>
  </si>
  <si>
    <t xml:space="preserve">Zona horaria</t>
  </si>
  <si>
    <t xml:space="preserve">Todo el DIARIO en hora local española; las fuentes UTC se convierten al cargar y se anota la conversión.</t>
  </si>
  <si>
    <t xml:space="preserve">Decimales</t>
  </si>
  <si>
    <t xml:space="preserve">BTC siempre con 8 decimales (0,00000350). Cuidado con los CSV anglosajones: punto decimal ≠ separador de miles.</t>
  </si>
  <si>
    <t xml:space="preserve">Comisiones</t>
  </si>
  <si>
    <t xml:space="preserve">Siempre separadas, en su columna. Convención: la comisión se descuenta en la ubicación de ORIGEN; si el origen es EXTERIOR, en la de destino.</t>
  </si>
  <si>
    <t xml:space="preserve">Identidad de los activos</t>
  </si>
  <si>
    <t xml:space="preserve">BTC es BTC; el «BTC» de un exchange, el WBTC de otra cadena y un saldo Lightning se registran como activos o ubicaciones distintos.</t>
  </si>
  <si>
    <t xml:space="preserve">Criterio de consumo</t>
  </si>
  <si>
    <t xml:space="preserve">FIFO sobre cola ÚNICA global por activo, sin distinguir ubicación (criterio administrativo vigente: V0525-25, V0491-26).</t>
  </si>
  <si>
    <t xml:space="preserve">Tolerancia VERDE del cuadre (|dif| ≤ → OK)</t>
  </si>
  <si>
    <t xml:space="preserve">Tolerancia ÁMBAR del cuadre (|dif| ≤ → REVISAR; mayor → ERROR)</t>
  </si>
  <si>
    <t xml:space="preserve">SALDOS — se calcula solo. Saldo por activo y ubicación a la fecha de corte</t>
  </si>
  <si>
    <t xml:space="preserve">Fecha de corte:</t>
  </si>
  <si>
    <t xml:space="preserve">← editable: cualquier fecha (Unidad 7: la elección de fecha acota el descuadre en el tiempo)</t>
  </si>
  <si>
    <t xml:space="preserve">Saldo = entradas − salidas − comisiones, por ubicación (Unidad 5). ROJO = saldo negativo: venta o salida sin origen registrado (Unidad 7). Cubre las 10 primeras UBICACIONES × 5 activos del catálogo.</t>
  </si>
  <si>
    <t xml:space="preserve">Ubicación</t>
  </si>
  <si>
    <t xml:space="preserve">Entradas</t>
  </si>
  <si>
    <t xml:space="preserve">Salidas</t>
  </si>
  <si>
    <t xml:space="preserve">Saldo</t>
  </si>
  <si>
    <t xml:space="preserve">FIFO — se calcula solo. Cola ÚNICA de lotes del activo elegido (Unidad 6): adquisiciones que abren lote y consumos por transmisión</t>
  </si>
  <si>
    <t xml:space="preserve">Activo de la cola:</t>
  </si>
  <si>
    <t xml:space="preserve">← editable. Requiere el DIARIO en orden cronológico. Cada fila de aquí refleja la fila del DIARIO de igual orden (fila 7 ↔ apunte 1).</t>
  </si>
  <si>
    <t xml:space="preserve">La comisión de adquisición en EUR SUMA al coste del lote; la comisión de venta en EUR MINORA el valor de transmisión (Unidad 6). Un consumo que abarca varios lotes toma su coste de los lotes más antiguos (columna «Consumido»). Columnas AUXILIAR (R–U): sostienen el cálculo, no tocar.</t>
  </si>
  <si>
    <t xml:space="preserve">Total adquirido:</t>
  </si>
  <si>
    <t xml:space="preserve">Total consumido:</t>
  </si>
  <si>
    <t xml:space="preserve">Restante en cola:</t>
  </si>
  <si>
    <t xml:space="preserve">Coste del restante (EUR):</t>
  </si>
  <si>
    <t xml:space="preserve">Resultado transmisiones (EUR):</t>
  </si>
  <si>
    <t xml:space="preserve">LOTES — adquisiciones que abren lote (COMPRA, PERMUTA recibida, RENDIMIENTO, MINERÍA, AIRDROP)</t>
  </si>
  <si>
    <t xml:space="preserve">TRANSMISIONES — consumos FIFO (VENTA, PERMUTA entregada, PAGO, PÉRDIDA)</t>
  </si>
  <si>
    <t xml:space="preserve">AUXILIAR — no tocar</t>
  </si>
  <si>
    <t xml:space="preserve">Nº apunte</t>
  </si>
  <si>
    <t xml:space="preserve">Fecha</t>
  </si>
  <si>
    <t xml:space="preserve">Coste total (EUR)</t>
  </si>
  <si>
    <t xml:space="preserve">Coste unitario (EUR)</t>
  </si>
  <si>
    <t xml:space="preserve">Acumulado</t>
  </si>
  <si>
    <t xml:space="preserve">Consumido</t>
  </si>
  <si>
    <t xml:space="preserve">Restante</t>
  </si>
  <si>
    <t xml:space="preserve">Consumo acumulado</t>
  </si>
  <si>
    <t xml:space="preserve">Coste FIFO (EUR)</t>
  </si>
  <si>
    <t xml:space="preserve">Valor transmisión neto (EUR)</t>
  </si>
  <si>
    <t xml:space="preserve">Ganancia / Pérdida (EUR)</t>
  </si>
  <si>
    <t xml:space="preserve">¿Abre lote?</t>
  </si>
  <si>
    <t xml:space="preserve">¿Consume?</t>
  </si>
  <si>
    <t xml:space="preserve">Acum. adq.</t>
  </si>
  <si>
    <t xml:space="preserve">Acum. cons.</t>
  </si>
  <si>
    <t xml:space="preserve">CUADRE — se calcula solo. Saldo calculado frente a saldo real declarado, con semáforo (Unidad 5, Tabla 5)</t>
  </si>
  <si>
    <t xml:space="preserve">Fecha de corte (la de SALDOS):</t>
  </si>
  <si>
    <t xml:space="preserve">Semáforo: |dif| ≤ tolerancia verde → OK · ≤ tolerancia ámbar → REVISAR · mayor → ERROR (tolerancias configurables en PARÁMETROS). Amarillo = teclear el saldo que muestra la fuente real.</t>
  </si>
  <si>
    <t xml:space="preserve">Saldo calculado</t>
  </si>
  <si>
    <t xml:space="preserve">Saldo real declarado</t>
  </si>
  <si>
    <t xml:space="preserve">Diferencia</t>
  </si>
  <si>
    <t xml:space="preserve">Estado</t>
  </si>
  <si>
    <t xml:space="preserve">EJEMPLO — borrar · descuadre de 0,0002: comisión embebida (Unidad 5, Tabla 6)</t>
  </si>
</sst>
</file>

<file path=xl/styles.xml><?xml version="1.0" encoding="utf-8"?>
<styleSheet xmlns="http://schemas.openxmlformats.org/spreadsheetml/2006/main">
  <numFmts count="8">
    <numFmt numFmtId="164" formatCode="General"/>
    <numFmt numFmtId="165" formatCode="yyyy\-mm\-dd\ hh:mm"/>
    <numFmt numFmtId="166" formatCode="#,##0.00"/>
    <numFmt numFmtId="167" formatCode="yyyy\-mm\-dd"/>
    <numFmt numFmtId="168" formatCode="#,##0.00000000"/>
    <numFmt numFmtId="169" formatCode="#,##0.00########"/>
    <numFmt numFmtId="170" formatCode="#,##0.00000000;\-#,##0.00000000;;@"/>
    <numFmt numFmtId="171" formatCode="#,##0.00;\-#,##0.00;;@"/>
  </numFmts>
  <fonts count="14">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375623"/>
      <name val="Arial"/>
      <family val="0"/>
      <charset val="1"/>
    </font>
    <font>
      <sz val="10"/>
      <name val="Arial"/>
      <family val="0"/>
      <charset val="1"/>
    </font>
    <font>
      <b val="true"/>
      <sz val="10"/>
      <color rgb="FF9C0006"/>
      <name val="Arial"/>
      <family val="0"/>
      <charset val="1"/>
    </font>
    <font>
      <b val="true"/>
      <sz val="10"/>
      <color rgb="FFFFFFFF"/>
      <name val="Arial"/>
      <family val="0"/>
      <charset val="1"/>
    </font>
    <font>
      <b val="true"/>
      <sz val="9"/>
      <color rgb="FFFFFFFF"/>
      <name val="Arial"/>
      <family val="0"/>
      <charset val="1"/>
    </font>
    <font>
      <i val="true"/>
      <sz val="9"/>
      <color rgb="FF595959"/>
      <name val="Arial"/>
      <family val="0"/>
      <charset val="1"/>
    </font>
    <font>
      <b val="true"/>
      <sz val="10"/>
      <name val="Arial"/>
      <family val="0"/>
      <charset val="1"/>
    </font>
    <font>
      <b val="true"/>
      <sz val="10"/>
      <color rgb="FFBF8F00"/>
      <name val="Arial"/>
      <family val="0"/>
      <charset val="1"/>
    </font>
    <font>
      <sz val="8"/>
      <color rgb="FF808080"/>
      <name val="Arial"/>
      <family val="0"/>
      <charset val="1"/>
    </font>
  </fonts>
  <fills count="8">
    <fill>
      <patternFill patternType="none"/>
    </fill>
    <fill>
      <patternFill patternType="gray125"/>
    </fill>
    <fill>
      <patternFill patternType="solid">
        <fgColor rgb="FF1F3864"/>
        <bgColor rgb="FF333399"/>
      </patternFill>
    </fill>
    <fill>
      <patternFill patternType="solid">
        <fgColor rgb="FFFFC7CE"/>
        <bgColor rgb="FFD9D9D9"/>
      </patternFill>
    </fill>
    <fill>
      <patternFill patternType="solid">
        <fgColor rgb="FFFFF2CC"/>
        <bgColor rgb="FFFFEB9C"/>
      </patternFill>
    </fill>
    <fill>
      <patternFill patternType="solid">
        <fgColor rgb="FFD9D9D9"/>
        <bgColor rgb="FFC6EFCE"/>
      </patternFill>
    </fill>
    <fill>
      <patternFill patternType="solid">
        <fgColor rgb="FF375623"/>
        <bgColor rgb="FF595959"/>
      </patternFill>
    </fill>
    <fill>
      <patternFill patternType="solid">
        <fgColor rgb="FFBF8F00"/>
        <bgColor rgb="FF9C6500"/>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8" fillId="2" borderId="2" xfId="0" applyFont="true" applyBorder="true" applyAlignment="true" applyProtection="false">
      <alignment horizontal="center" vertical="center" textRotation="0" wrapText="true" indent="0" shrinkToFit="false"/>
      <protection locked="true" hidden="false"/>
    </xf>
    <xf numFmtId="164" fontId="9" fillId="2" borderId="3" xfId="0" applyFont="true" applyBorder="true" applyAlignment="true" applyProtection="false">
      <alignment horizontal="center" vertical="center" textRotation="0" wrapText="true" indent="0" shrinkToFit="false"/>
      <protection locked="true" hidden="false"/>
    </xf>
    <xf numFmtId="164" fontId="6" fillId="4" borderId="3" xfId="0" applyFont="true" applyBorder="true" applyAlignment="false" applyProtection="false">
      <alignment horizontal="general" vertical="bottom" textRotation="0" wrapText="false" indent="0" shrinkToFit="false"/>
      <protection locked="true" hidden="false"/>
    </xf>
    <xf numFmtId="165" fontId="6" fillId="4" borderId="3" xfId="0" applyFont="true" applyBorder="true" applyAlignment="false" applyProtection="false">
      <alignment horizontal="general" vertical="bottom" textRotation="0" wrapText="false" indent="0" shrinkToFit="false"/>
      <protection locked="true" hidden="false"/>
    </xf>
    <xf numFmtId="166" fontId="6" fillId="4" borderId="3"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2" borderId="3" xfId="0" applyFont="true" applyBorder="true" applyAlignment="true" applyProtection="false">
      <alignment horizontal="center" vertical="center" textRotation="0" wrapText="true" indent="0" shrinkToFit="false"/>
      <protection locked="true" hidden="false"/>
    </xf>
    <xf numFmtId="167" fontId="6" fillId="4" borderId="3" xfId="0" applyFont="true" applyBorder="true" applyAlignment="false" applyProtection="false">
      <alignment horizontal="general" vertical="bottom" textRotation="0" wrapText="false" indent="0" shrinkToFit="false"/>
      <protection locked="true" hidden="false"/>
    </xf>
    <xf numFmtId="164" fontId="11" fillId="5" borderId="3" xfId="0" applyFont="true" applyBorder="true" applyAlignment="false" applyProtection="false">
      <alignment horizontal="general" vertical="bottom" textRotation="0" wrapText="false" indent="0" shrinkToFit="false"/>
      <protection locked="true" hidden="false"/>
    </xf>
    <xf numFmtId="164" fontId="6" fillId="5" borderId="3" xfId="0" applyFont="true" applyBorder="true" applyAlignment="false" applyProtection="false">
      <alignment horizontal="general" vertical="bottom" textRotation="0" wrapText="false" indent="0" shrinkToFit="false"/>
      <protection locked="true" hidden="false"/>
    </xf>
    <xf numFmtId="164" fontId="0" fillId="4" borderId="3" xfId="0" applyFont="false" applyBorder="true" applyAlignment="false" applyProtection="false">
      <alignment horizontal="general" vertical="bottom" textRotation="0" wrapText="false" indent="0" shrinkToFit="false"/>
      <protection locked="true" hidden="false"/>
    </xf>
    <xf numFmtId="167" fontId="0" fillId="4" borderId="3" xfId="0" applyFont="false" applyBorder="true" applyAlignment="false" applyProtection="false">
      <alignment horizontal="general" vertical="bottom" textRotation="0" wrapText="false" indent="0" shrinkToFit="false"/>
      <protection locked="true" hidden="false"/>
    </xf>
    <xf numFmtId="164" fontId="11" fillId="0" borderId="3" xfId="0" applyFont="true" applyBorder="true" applyAlignment="true" applyProtection="false">
      <alignment horizontal="general" vertical="top" textRotation="0" wrapText="true" indent="0" shrinkToFit="false"/>
      <protection locked="true" hidden="false"/>
    </xf>
    <xf numFmtId="164" fontId="6" fillId="0" borderId="3"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8" fontId="0" fillId="4" borderId="3" xfId="0" applyFont="false" applyBorder="true" applyAlignment="false" applyProtection="false">
      <alignment horizontal="general" vertical="bottom" textRotation="0" wrapText="false" indent="0" shrinkToFit="false"/>
      <protection locked="true" hidden="false"/>
    </xf>
    <xf numFmtId="167" fontId="11" fillId="4" borderId="3"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9" fontId="6" fillId="0" borderId="3" xfId="0" applyFont="true" applyBorder="true" applyAlignment="false" applyProtection="false">
      <alignment horizontal="general" vertical="bottom" textRotation="0" wrapText="false" indent="0" shrinkToFit="false"/>
      <protection locked="true" hidden="false"/>
    </xf>
    <xf numFmtId="164" fontId="11" fillId="4" borderId="3" xfId="0" applyFont="true" applyBorder="tru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8" fillId="6" borderId="0" xfId="0" applyFont="true" applyBorder="true" applyAlignment="true" applyProtection="false">
      <alignment horizontal="center" vertical="center" textRotation="0" wrapText="true" indent="0" shrinkToFit="false"/>
      <protection locked="true" hidden="false"/>
    </xf>
    <xf numFmtId="164" fontId="8" fillId="7" borderId="0" xfId="0" applyFont="true" applyBorder="true" applyAlignment="true" applyProtection="false">
      <alignment horizontal="center" vertical="center" textRotation="0" wrapText="true" indent="0" shrinkToFit="false"/>
      <protection locked="true" hidden="false"/>
    </xf>
    <xf numFmtId="164" fontId="11" fillId="5" borderId="0" xfId="0" applyFont="true" applyBorder="true" applyAlignment="true" applyProtection="false">
      <alignment horizontal="center" vertical="center" textRotation="0" wrapText="true" indent="0" shrinkToFit="false"/>
      <protection locked="true" hidden="false"/>
    </xf>
    <xf numFmtId="165" fontId="6" fillId="0" borderId="3" xfId="0" applyFont="true" applyBorder="true" applyAlignment="false" applyProtection="false">
      <alignment horizontal="general" vertical="bottom" textRotation="0" wrapText="false" indent="0" shrinkToFit="false"/>
      <protection locked="true" hidden="false"/>
    </xf>
    <xf numFmtId="170" fontId="6" fillId="0" borderId="3" xfId="0" applyFont="true" applyBorder="true" applyAlignment="false" applyProtection="false">
      <alignment horizontal="general" vertical="bottom" textRotation="0" wrapText="false" indent="0" shrinkToFit="false"/>
      <protection locked="true" hidden="false"/>
    </xf>
    <xf numFmtId="171" fontId="6" fillId="0" borderId="3" xfId="0" applyFont="true" applyBorder="true" applyAlignment="false" applyProtection="false">
      <alignment horizontal="general" vertical="bottom" textRotation="0" wrapText="false" indent="0" shrinkToFit="false"/>
      <protection locked="true" hidden="false"/>
    </xf>
    <xf numFmtId="168" fontId="6" fillId="0" borderId="3" xfId="0" applyFont="true" applyBorder="true" applyAlignment="false" applyProtection="false">
      <alignment horizontal="general" vertical="bottom" textRotation="0" wrapText="false" indent="0" shrinkToFit="false"/>
      <protection locked="true" hidden="false"/>
    </xf>
    <xf numFmtId="166" fontId="6" fillId="0" borderId="3" xfId="0" applyFont="true" applyBorder="true" applyAlignment="false" applyProtection="false">
      <alignment horizontal="general" vertical="bottom" textRotation="0" wrapText="false" indent="0" shrinkToFit="false"/>
      <protection locked="true" hidden="false"/>
    </xf>
    <xf numFmtId="164" fontId="13" fillId="5" borderId="0" xfId="0" applyFont="true" applyBorder="false" applyAlignment="false" applyProtection="false">
      <alignment horizontal="general" vertical="bottom" textRotation="0" wrapText="false" indent="0" shrinkToFit="false"/>
      <protection locked="true" hidden="false"/>
    </xf>
    <xf numFmtId="170" fontId="13" fillId="5"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9" fontId="6" fillId="4" borderId="3"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10" fillId="0" borderId="3"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Arial"/>
        <charset val="1"/>
        <family val="0"/>
        <b val="1"/>
        <color rgb="FF9C0006"/>
        <sz val="10"/>
      </font>
      <fill>
        <patternFill>
          <bgColor rgb="FFFFC7CE"/>
        </patternFill>
      </fill>
    </dxf>
    <dxf>
      <font>
        <name val="Arial"/>
        <charset val="1"/>
        <family val="0"/>
        <b val="1"/>
        <color rgb="FF006100"/>
        <sz val="10"/>
      </font>
      <fill>
        <patternFill>
          <bgColor rgb="FFC6EFCE"/>
        </patternFill>
      </fill>
    </dxf>
    <dxf>
      <font>
        <name val="Arial"/>
        <charset val="1"/>
        <family val="0"/>
        <b val="1"/>
        <color rgb="FF9C6500"/>
        <sz val="10"/>
      </font>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BFBFBF"/>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BF8F00"/>
      <rgbColor rgb="FFFF6600"/>
      <rgbColor rgb="FF595959"/>
      <rgbColor rgb="FF969696"/>
      <rgbColor rgb="FF1F3864"/>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5"/>
  </cols>
  <sheetData>
    <row r="1" customFormat="false" ht="25.5" hidden="false" customHeight="true" outlineLevel="0" collapsed="false">
      <c r="A1" s="1" t="s">
        <v>0</v>
      </c>
      <c r="B1" s="1"/>
    </row>
    <row r="3" customFormat="false" ht="27.75" hidden="false" customHeight="true" outlineLevel="0" collapsed="false">
      <c r="A3" s="2" t="s">
        <v>1</v>
      </c>
      <c r="B3" s="3" t="s">
        <v>2</v>
      </c>
    </row>
    <row r="4" customFormat="false" ht="27.75" hidden="false" customHeight="true" outlineLevel="0" collapsed="false">
      <c r="A4" s="2" t="s">
        <v>3</v>
      </c>
      <c r="B4" s="3" t="s">
        <v>4</v>
      </c>
    </row>
    <row r="5" customFormat="false" ht="27.75" hidden="false" customHeight="true" outlineLevel="0" collapsed="false">
      <c r="A5" s="2" t="s">
        <v>5</v>
      </c>
      <c r="B5" s="3" t="s">
        <v>6</v>
      </c>
    </row>
    <row r="6" customFormat="false" ht="27.75" hidden="false" customHeight="true" outlineLevel="0" collapsed="false">
      <c r="A6" s="2" t="s">
        <v>7</v>
      </c>
      <c r="B6" s="3" t="s">
        <v>8</v>
      </c>
    </row>
    <row r="7" customFormat="false" ht="27.75" hidden="false" customHeight="true" outlineLevel="0" collapsed="false">
      <c r="A7" s="2" t="s">
        <v>9</v>
      </c>
      <c r="B7" s="3" t="s">
        <v>10</v>
      </c>
    </row>
    <row r="8" customFormat="false" ht="27.75" hidden="false" customHeight="true" outlineLevel="0" collapsed="false">
      <c r="A8" s="2" t="s">
        <v>11</v>
      </c>
      <c r="B8" s="3" t="s">
        <v>12</v>
      </c>
    </row>
    <row r="9" customFormat="false" ht="27.75" hidden="false" customHeight="true" outlineLevel="0" collapsed="false">
      <c r="A9" s="2" t="s">
        <v>13</v>
      </c>
      <c r="B9" s="3" t="s">
        <v>14</v>
      </c>
    </row>
    <row r="10" customFormat="false" ht="27.75" hidden="false" customHeight="true" outlineLevel="0" collapsed="false">
      <c r="A10" s="2" t="s">
        <v>15</v>
      </c>
      <c r="B10" s="3" t="s">
        <v>16</v>
      </c>
    </row>
    <row r="11" customFormat="false" ht="27.75" hidden="false" customHeight="true" outlineLevel="0" collapsed="false">
      <c r="A11" s="2" t="s">
        <v>17</v>
      </c>
      <c r="B11" s="3" t="s">
        <v>18</v>
      </c>
    </row>
    <row r="12" customFormat="false" ht="27.75" hidden="false" customHeight="true" outlineLevel="0" collapsed="false">
      <c r="A12" s="2" t="s">
        <v>19</v>
      </c>
      <c r="B12" s="3" t="s">
        <v>20</v>
      </c>
    </row>
    <row r="13" customFormat="false" ht="27.75" hidden="false" customHeight="true" outlineLevel="0" collapsed="false">
      <c r="A13" s="2" t="s">
        <v>21</v>
      </c>
      <c r="B13" s="3" t="s">
        <v>22</v>
      </c>
    </row>
    <row r="14" customFormat="false" ht="27.75" hidden="false" customHeight="true" outlineLevel="0" collapsed="false">
      <c r="A14" s="2" t="s">
        <v>23</v>
      </c>
      <c r="B14" s="3" t="s">
        <v>24</v>
      </c>
    </row>
    <row r="15" customFormat="false" ht="27.75" hidden="false" customHeight="true" outlineLevel="0" collapsed="false">
      <c r="A15" s="2" t="s">
        <v>25</v>
      </c>
      <c r="B15" s="3" t="s">
        <v>26</v>
      </c>
    </row>
    <row r="16" customFormat="false" ht="27.75" hidden="false" customHeight="true" outlineLevel="0" collapsed="false">
      <c r="A16" s="2" t="s">
        <v>27</v>
      </c>
      <c r="B16" s="3" t="s">
        <v>28</v>
      </c>
    </row>
    <row r="17" customFormat="false" ht="27.75" hidden="false" customHeight="true" outlineLevel="0" collapsed="false">
      <c r="A17" s="2" t="s">
        <v>29</v>
      </c>
      <c r="B17" s="3" t="s">
        <v>30</v>
      </c>
    </row>
    <row r="19" customFormat="false" ht="30" hidden="false" customHeight="true" outlineLevel="0" collapsed="false">
      <c r="A19" s="4" t="s">
        <v>31</v>
      </c>
      <c r="B19" s="4"/>
    </row>
  </sheetData>
  <mergeCells count="2">
    <mergeCell ref="A1:B1"/>
    <mergeCell ref="A19:B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N10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7"/>
    <col collapsed="false" customWidth="true" hidden="false" outlineLevel="0" max="3" min="3" style="0" width="20"/>
    <col collapsed="false" customWidth="true" hidden="false" outlineLevel="0" max="5" min="4" style="0" width="17"/>
    <col collapsed="false" customWidth="true" hidden="false" outlineLevel="0" max="6" min="6" style="0" width="8"/>
    <col collapsed="false" customWidth="true" hidden="false" outlineLevel="0" max="7" min="7" style="0" width="13"/>
    <col collapsed="false" customWidth="true" hidden="false" outlineLevel="0" max="8" min="8" style="0" width="8"/>
    <col collapsed="false" customWidth="true" hidden="false" outlineLevel="0" max="9" min="9" style="0" width="13"/>
    <col collapsed="false" customWidth="true" hidden="false" outlineLevel="0" max="10" min="10" style="0" width="12"/>
    <col collapsed="false" customWidth="true" hidden="false" outlineLevel="0" max="11" min="11" style="0" width="8"/>
    <col collapsed="false" customWidth="true" hidden="false" outlineLevel="0" max="12" min="12" style="0" width="14"/>
    <col collapsed="false" customWidth="true" hidden="false" outlineLevel="0" max="13" min="13" style="0" width="38"/>
    <col collapsed="false" customWidth="true" hidden="false" outlineLevel="0" max="14" min="14" style="0" width="40"/>
  </cols>
  <sheetData>
    <row r="1" customFormat="false" ht="21.75" hidden="false" customHeight="true" outlineLevel="0" collapsed="false">
      <c r="A1" s="5" t="s">
        <v>32</v>
      </c>
      <c r="B1" s="5" t="s">
        <v>33</v>
      </c>
      <c r="C1" s="5" t="s">
        <v>34</v>
      </c>
      <c r="D1" s="5" t="s">
        <v>35</v>
      </c>
      <c r="E1" s="5" t="s">
        <v>36</v>
      </c>
      <c r="F1" s="6" t="s">
        <v>37</v>
      </c>
      <c r="G1" s="6"/>
      <c r="H1" s="6" t="s">
        <v>38</v>
      </c>
      <c r="I1" s="6"/>
      <c r="J1" s="6" t="s">
        <v>39</v>
      </c>
      <c r="K1" s="6"/>
      <c r="L1" s="5" t="s">
        <v>40</v>
      </c>
      <c r="M1" s="5" t="s">
        <v>41</v>
      </c>
      <c r="N1" s="5" t="s">
        <v>42</v>
      </c>
    </row>
    <row r="2" customFormat="false" ht="13.5" hidden="false" customHeight="true" outlineLevel="0" collapsed="false">
      <c r="A2" s="5"/>
      <c r="B2" s="5"/>
      <c r="C2" s="5"/>
      <c r="D2" s="5"/>
      <c r="E2" s="5"/>
      <c r="F2" s="7" t="s">
        <v>43</v>
      </c>
      <c r="G2" s="7" t="s">
        <v>44</v>
      </c>
      <c r="H2" s="7" t="s">
        <v>43</v>
      </c>
      <c r="I2" s="7" t="s">
        <v>44</v>
      </c>
      <c r="J2" s="7" t="s">
        <v>44</v>
      </c>
      <c r="K2" s="7" t="s">
        <v>43</v>
      </c>
      <c r="L2" s="5"/>
      <c r="M2" s="5"/>
      <c r="N2" s="5"/>
    </row>
    <row r="3" customFormat="false" ht="15" hidden="false" customHeight="false" outlineLevel="0" collapsed="false">
      <c r="A3" s="8" t="s">
        <v>45</v>
      </c>
      <c r="B3" s="9" t="n">
        <v>46038.4451388889</v>
      </c>
      <c r="C3" s="8" t="s">
        <v>46</v>
      </c>
      <c r="D3" s="8" t="s">
        <v>47</v>
      </c>
      <c r="E3" s="8" t="s">
        <v>47</v>
      </c>
      <c r="F3" s="8" t="s">
        <v>48</v>
      </c>
      <c r="G3" s="8" t="n">
        <v>20000</v>
      </c>
      <c r="H3" s="8" t="s">
        <v>49</v>
      </c>
      <c r="I3" s="8" t="n">
        <v>0.5</v>
      </c>
      <c r="J3" s="8" t="n">
        <v>30</v>
      </c>
      <c r="K3" s="8" t="s">
        <v>48</v>
      </c>
      <c r="L3" s="10" t="n">
        <v>20000</v>
      </c>
      <c r="M3" s="8" t="s">
        <v>50</v>
      </c>
      <c r="N3" s="8" t="s">
        <v>51</v>
      </c>
    </row>
    <row r="4" customFormat="false" ht="15" hidden="false" customHeight="false" outlineLevel="0" collapsed="false">
      <c r="A4" s="8" t="s">
        <v>52</v>
      </c>
      <c r="B4" s="9" t="n">
        <v>46056.7638888889</v>
      </c>
      <c r="C4" s="8" t="s">
        <v>53</v>
      </c>
      <c r="D4" s="8" t="s">
        <v>47</v>
      </c>
      <c r="E4" s="8" t="s">
        <v>54</v>
      </c>
      <c r="F4" s="8" t="s">
        <v>49</v>
      </c>
      <c r="G4" s="8" t="n">
        <v>0.3</v>
      </c>
      <c r="H4" s="8" t="s">
        <v>49</v>
      </c>
      <c r="I4" s="8" t="n">
        <v>0.3</v>
      </c>
      <c r="J4" s="8" t="n">
        <v>0.0002</v>
      </c>
      <c r="K4" s="8" t="s">
        <v>49</v>
      </c>
      <c r="L4" s="10"/>
      <c r="M4" s="8" t="s">
        <v>55</v>
      </c>
      <c r="N4" s="8" t="s">
        <v>56</v>
      </c>
    </row>
    <row r="5" customFormat="false" ht="15" hidden="false" customHeight="false" outlineLevel="0" collapsed="false">
      <c r="A5" s="8" t="s">
        <v>57</v>
      </c>
      <c r="B5" s="9" t="n">
        <v>46082.3833333333</v>
      </c>
      <c r="C5" s="8" t="s">
        <v>58</v>
      </c>
      <c r="D5" s="8" t="s">
        <v>59</v>
      </c>
      <c r="E5" s="8" t="s">
        <v>47</v>
      </c>
      <c r="F5" s="8"/>
      <c r="G5" s="8"/>
      <c r="H5" s="8" t="s">
        <v>49</v>
      </c>
      <c r="I5" s="8" t="n">
        <v>0.05</v>
      </c>
      <c r="J5" s="8"/>
      <c r="K5" s="8"/>
      <c r="L5" s="10" t="n">
        <v>130</v>
      </c>
      <c r="M5" s="8" t="s">
        <v>60</v>
      </c>
      <c r="N5" s="8" t="s">
        <v>61</v>
      </c>
    </row>
    <row r="6" customFormat="false" ht="15" hidden="false" customHeight="false" outlineLevel="0" collapsed="false">
      <c r="A6" s="8"/>
      <c r="B6" s="9"/>
      <c r="C6" s="8"/>
      <c r="D6" s="8"/>
      <c r="E6" s="8"/>
      <c r="F6" s="8"/>
      <c r="G6" s="8"/>
      <c r="H6" s="8"/>
      <c r="I6" s="8"/>
      <c r="J6" s="8"/>
      <c r="K6" s="8"/>
      <c r="L6" s="10"/>
      <c r="M6" s="8"/>
      <c r="N6" s="8"/>
    </row>
    <row r="7" customFormat="false" ht="15" hidden="false" customHeight="false" outlineLevel="0" collapsed="false">
      <c r="A7" s="8"/>
      <c r="B7" s="9"/>
      <c r="C7" s="8"/>
      <c r="D7" s="8"/>
      <c r="E7" s="8"/>
      <c r="F7" s="8"/>
      <c r="G7" s="8"/>
      <c r="H7" s="8"/>
      <c r="I7" s="8"/>
      <c r="J7" s="8"/>
      <c r="K7" s="8"/>
      <c r="L7" s="10"/>
      <c r="M7" s="8"/>
      <c r="N7" s="8"/>
    </row>
    <row r="8" customFormat="false" ht="15" hidden="false" customHeight="false" outlineLevel="0" collapsed="false">
      <c r="A8" s="8"/>
      <c r="B8" s="9"/>
      <c r="C8" s="8"/>
      <c r="D8" s="8"/>
      <c r="E8" s="8"/>
      <c r="F8" s="8"/>
      <c r="G8" s="8"/>
      <c r="H8" s="8"/>
      <c r="I8" s="8"/>
      <c r="J8" s="8"/>
      <c r="K8" s="8"/>
      <c r="L8" s="10"/>
      <c r="M8" s="8"/>
      <c r="N8" s="8"/>
    </row>
    <row r="9" customFormat="false" ht="15" hidden="false" customHeight="false" outlineLevel="0" collapsed="false">
      <c r="A9" s="8"/>
      <c r="B9" s="9"/>
      <c r="C9" s="8"/>
      <c r="D9" s="8"/>
      <c r="E9" s="8"/>
      <c r="F9" s="8"/>
      <c r="G9" s="8"/>
      <c r="H9" s="8"/>
      <c r="I9" s="8"/>
      <c r="J9" s="8"/>
      <c r="K9" s="8"/>
      <c r="L9" s="10"/>
      <c r="M9" s="8"/>
      <c r="N9" s="8"/>
    </row>
    <row r="10" customFormat="false" ht="15" hidden="false" customHeight="false" outlineLevel="0" collapsed="false">
      <c r="A10" s="8"/>
      <c r="B10" s="9"/>
      <c r="C10" s="8"/>
      <c r="D10" s="8"/>
      <c r="E10" s="8"/>
      <c r="F10" s="8"/>
      <c r="G10" s="8"/>
      <c r="H10" s="8"/>
      <c r="I10" s="8"/>
      <c r="J10" s="8"/>
      <c r="K10" s="8"/>
      <c r="L10" s="10"/>
      <c r="M10" s="8"/>
      <c r="N10" s="8"/>
    </row>
    <row r="11" customFormat="false" ht="15" hidden="false" customHeight="false" outlineLevel="0" collapsed="false">
      <c r="A11" s="8"/>
      <c r="B11" s="9"/>
      <c r="C11" s="8"/>
      <c r="D11" s="8"/>
      <c r="E11" s="8"/>
      <c r="F11" s="8"/>
      <c r="G11" s="8"/>
      <c r="H11" s="8"/>
      <c r="I11" s="8"/>
      <c r="J11" s="8"/>
      <c r="K11" s="8"/>
      <c r="L11" s="10"/>
      <c r="M11" s="8"/>
      <c r="N11" s="8"/>
    </row>
    <row r="12" customFormat="false" ht="15" hidden="false" customHeight="false" outlineLevel="0" collapsed="false">
      <c r="A12" s="8"/>
      <c r="B12" s="9"/>
      <c r="C12" s="8"/>
      <c r="D12" s="8"/>
      <c r="E12" s="8"/>
      <c r="F12" s="8"/>
      <c r="G12" s="8"/>
      <c r="H12" s="8"/>
      <c r="I12" s="8"/>
      <c r="J12" s="8"/>
      <c r="K12" s="8"/>
      <c r="L12" s="10"/>
      <c r="M12" s="8"/>
      <c r="N12" s="8"/>
    </row>
    <row r="13" customFormat="false" ht="15" hidden="false" customHeight="false" outlineLevel="0" collapsed="false">
      <c r="A13" s="8"/>
      <c r="B13" s="9"/>
      <c r="C13" s="8"/>
      <c r="D13" s="8"/>
      <c r="E13" s="8"/>
      <c r="F13" s="8"/>
      <c r="G13" s="8"/>
      <c r="H13" s="8"/>
      <c r="I13" s="8"/>
      <c r="J13" s="8"/>
      <c r="K13" s="8"/>
      <c r="L13" s="10"/>
      <c r="M13" s="8"/>
      <c r="N13" s="8"/>
    </row>
    <row r="14" customFormat="false" ht="15" hidden="false" customHeight="false" outlineLevel="0" collapsed="false">
      <c r="A14" s="8"/>
      <c r="B14" s="9"/>
      <c r="C14" s="8"/>
      <c r="D14" s="8"/>
      <c r="E14" s="8"/>
      <c r="F14" s="8"/>
      <c r="G14" s="8"/>
      <c r="H14" s="8"/>
      <c r="I14" s="8"/>
      <c r="J14" s="8"/>
      <c r="K14" s="8"/>
      <c r="L14" s="10"/>
      <c r="M14" s="8"/>
      <c r="N14" s="8"/>
    </row>
    <row r="15" customFormat="false" ht="15" hidden="false" customHeight="false" outlineLevel="0" collapsed="false">
      <c r="A15" s="8"/>
      <c r="B15" s="9"/>
      <c r="C15" s="8"/>
      <c r="D15" s="8"/>
      <c r="E15" s="8"/>
      <c r="F15" s="8"/>
      <c r="G15" s="8"/>
      <c r="H15" s="8"/>
      <c r="I15" s="8"/>
      <c r="J15" s="8"/>
      <c r="K15" s="8"/>
      <c r="L15" s="10"/>
      <c r="M15" s="8"/>
      <c r="N15" s="8"/>
    </row>
    <row r="16" customFormat="false" ht="15" hidden="false" customHeight="false" outlineLevel="0" collapsed="false">
      <c r="A16" s="8"/>
      <c r="B16" s="9"/>
      <c r="C16" s="8"/>
      <c r="D16" s="8"/>
      <c r="E16" s="8"/>
      <c r="F16" s="8"/>
      <c r="G16" s="8"/>
      <c r="H16" s="8"/>
      <c r="I16" s="8"/>
      <c r="J16" s="8"/>
      <c r="K16" s="8"/>
      <c r="L16" s="10"/>
      <c r="M16" s="8"/>
      <c r="N16" s="8"/>
    </row>
    <row r="17" customFormat="false" ht="15" hidden="false" customHeight="false" outlineLevel="0" collapsed="false">
      <c r="A17" s="8"/>
      <c r="B17" s="9"/>
      <c r="C17" s="8"/>
      <c r="D17" s="8"/>
      <c r="E17" s="8"/>
      <c r="F17" s="8"/>
      <c r="G17" s="8"/>
      <c r="H17" s="8"/>
      <c r="I17" s="8"/>
      <c r="J17" s="8"/>
      <c r="K17" s="8"/>
      <c r="L17" s="10"/>
      <c r="M17" s="8"/>
      <c r="N17" s="8"/>
    </row>
    <row r="18" customFormat="false" ht="15" hidden="false" customHeight="false" outlineLevel="0" collapsed="false">
      <c r="A18" s="8"/>
      <c r="B18" s="9"/>
      <c r="C18" s="8"/>
      <c r="D18" s="8"/>
      <c r="E18" s="8"/>
      <c r="F18" s="8"/>
      <c r="G18" s="8"/>
      <c r="H18" s="8"/>
      <c r="I18" s="8"/>
      <c r="J18" s="8"/>
      <c r="K18" s="8"/>
      <c r="L18" s="10"/>
      <c r="M18" s="8"/>
      <c r="N18" s="8"/>
    </row>
    <row r="19" customFormat="false" ht="15" hidden="false" customHeight="false" outlineLevel="0" collapsed="false">
      <c r="A19" s="8"/>
      <c r="B19" s="9"/>
      <c r="C19" s="8"/>
      <c r="D19" s="8"/>
      <c r="E19" s="8"/>
      <c r="F19" s="8"/>
      <c r="G19" s="8"/>
      <c r="H19" s="8"/>
      <c r="I19" s="8"/>
      <c r="J19" s="8"/>
      <c r="K19" s="8"/>
      <c r="L19" s="10"/>
      <c r="M19" s="8"/>
      <c r="N19" s="8"/>
    </row>
    <row r="20" customFormat="false" ht="15" hidden="false" customHeight="false" outlineLevel="0" collapsed="false">
      <c r="A20" s="8"/>
      <c r="B20" s="9"/>
      <c r="C20" s="8"/>
      <c r="D20" s="8"/>
      <c r="E20" s="8"/>
      <c r="F20" s="8"/>
      <c r="G20" s="8"/>
      <c r="H20" s="8"/>
      <c r="I20" s="8"/>
      <c r="J20" s="8"/>
      <c r="K20" s="8"/>
      <c r="L20" s="10"/>
      <c r="M20" s="8"/>
      <c r="N20" s="8"/>
    </row>
    <row r="21" customFormat="false" ht="15" hidden="false" customHeight="false" outlineLevel="0" collapsed="false">
      <c r="A21" s="8"/>
      <c r="B21" s="9"/>
      <c r="C21" s="8"/>
      <c r="D21" s="8"/>
      <c r="E21" s="8"/>
      <c r="F21" s="8"/>
      <c r="G21" s="8"/>
      <c r="H21" s="8"/>
      <c r="I21" s="8"/>
      <c r="J21" s="8"/>
      <c r="K21" s="8"/>
      <c r="L21" s="10"/>
      <c r="M21" s="8"/>
      <c r="N21" s="8"/>
    </row>
    <row r="22" customFormat="false" ht="15" hidden="false" customHeight="false" outlineLevel="0" collapsed="false">
      <c r="A22" s="8"/>
      <c r="B22" s="9"/>
      <c r="C22" s="8"/>
      <c r="D22" s="8"/>
      <c r="E22" s="8"/>
      <c r="F22" s="8"/>
      <c r="G22" s="8"/>
      <c r="H22" s="8"/>
      <c r="I22" s="8"/>
      <c r="J22" s="8"/>
      <c r="K22" s="8"/>
      <c r="L22" s="10"/>
      <c r="M22" s="8"/>
      <c r="N22" s="8"/>
    </row>
    <row r="23" customFormat="false" ht="15" hidden="false" customHeight="false" outlineLevel="0" collapsed="false">
      <c r="A23" s="8"/>
      <c r="B23" s="9"/>
      <c r="C23" s="8"/>
      <c r="D23" s="8"/>
      <c r="E23" s="8"/>
      <c r="F23" s="8"/>
      <c r="G23" s="8"/>
      <c r="H23" s="8"/>
      <c r="I23" s="8"/>
      <c r="J23" s="8"/>
      <c r="K23" s="8"/>
      <c r="L23" s="10"/>
      <c r="M23" s="8"/>
      <c r="N23" s="8"/>
    </row>
    <row r="24" customFormat="false" ht="15" hidden="false" customHeight="false" outlineLevel="0" collapsed="false">
      <c r="A24" s="8"/>
      <c r="B24" s="9"/>
      <c r="C24" s="8"/>
      <c r="D24" s="8"/>
      <c r="E24" s="8"/>
      <c r="F24" s="8"/>
      <c r="G24" s="8"/>
      <c r="H24" s="8"/>
      <c r="I24" s="8"/>
      <c r="J24" s="8"/>
      <c r="K24" s="8"/>
      <c r="L24" s="10"/>
      <c r="M24" s="8"/>
      <c r="N24" s="8"/>
    </row>
    <row r="25" customFormat="false" ht="15" hidden="false" customHeight="false" outlineLevel="0" collapsed="false">
      <c r="A25" s="8"/>
      <c r="B25" s="9"/>
      <c r="C25" s="8"/>
      <c r="D25" s="8"/>
      <c r="E25" s="8"/>
      <c r="F25" s="8"/>
      <c r="G25" s="8"/>
      <c r="H25" s="8"/>
      <c r="I25" s="8"/>
      <c r="J25" s="8"/>
      <c r="K25" s="8"/>
      <c r="L25" s="10"/>
      <c r="M25" s="8"/>
      <c r="N25" s="8"/>
    </row>
    <row r="26" customFormat="false" ht="15" hidden="false" customHeight="false" outlineLevel="0" collapsed="false">
      <c r="A26" s="8"/>
      <c r="B26" s="9"/>
      <c r="C26" s="8"/>
      <c r="D26" s="8"/>
      <c r="E26" s="8"/>
      <c r="F26" s="8"/>
      <c r="G26" s="8"/>
      <c r="H26" s="8"/>
      <c r="I26" s="8"/>
      <c r="J26" s="8"/>
      <c r="K26" s="8"/>
      <c r="L26" s="10"/>
      <c r="M26" s="8"/>
      <c r="N26" s="8"/>
    </row>
    <row r="27" customFormat="false" ht="15" hidden="false" customHeight="false" outlineLevel="0" collapsed="false">
      <c r="A27" s="8"/>
      <c r="B27" s="9"/>
      <c r="C27" s="8"/>
      <c r="D27" s="8"/>
      <c r="E27" s="8"/>
      <c r="F27" s="8"/>
      <c r="G27" s="8"/>
      <c r="H27" s="8"/>
      <c r="I27" s="8"/>
      <c r="J27" s="8"/>
      <c r="K27" s="8"/>
      <c r="L27" s="10"/>
      <c r="M27" s="8"/>
      <c r="N27" s="8"/>
    </row>
    <row r="28" customFormat="false" ht="15" hidden="false" customHeight="false" outlineLevel="0" collapsed="false">
      <c r="A28" s="8"/>
      <c r="B28" s="9"/>
      <c r="C28" s="8"/>
      <c r="D28" s="8"/>
      <c r="E28" s="8"/>
      <c r="F28" s="8"/>
      <c r="G28" s="8"/>
      <c r="H28" s="8"/>
      <c r="I28" s="8"/>
      <c r="J28" s="8"/>
      <c r="K28" s="8"/>
      <c r="L28" s="10"/>
      <c r="M28" s="8"/>
      <c r="N28" s="8"/>
    </row>
    <row r="29" customFormat="false" ht="15" hidden="false" customHeight="false" outlineLevel="0" collapsed="false">
      <c r="A29" s="8"/>
      <c r="B29" s="9"/>
      <c r="C29" s="8"/>
      <c r="D29" s="8"/>
      <c r="E29" s="8"/>
      <c r="F29" s="8"/>
      <c r="G29" s="8"/>
      <c r="H29" s="8"/>
      <c r="I29" s="8"/>
      <c r="J29" s="8"/>
      <c r="K29" s="8"/>
      <c r="L29" s="10"/>
      <c r="M29" s="8"/>
      <c r="N29" s="8"/>
    </row>
    <row r="30" customFormat="false" ht="15" hidden="false" customHeight="false" outlineLevel="0" collapsed="false">
      <c r="A30" s="8"/>
      <c r="B30" s="9"/>
      <c r="C30" s="8"/>
      <c r="D30" s="8"/>
      <c r="E30" s="8"/>
      <c r="F30" s="8"/>
      <c r="G30" s="8"/>
      <c r="H30" s="8"/>
      <c r="I30" s="8"/>
      <c r="J30" s="8"/>
      <c r="K30" s="8"/>
      <c r="L30" s="10"/>
      <c r="M30" s="8"/>
      <c r="N30" s="8"/>
    </row>
    <row r="31" customFormat="false" ht="15" hidden="false" customHeight="false" outlineLevel="0" collapsed="false">
      <c r="A31" s="8"/>
      <c r="B31" s="9"/>
      <c r="C31" s="8"/>
      <c r="D31" s="8"/>
      <c r="E31" s="8"/>
      <c r="F31" s="8"/>
      <c r="G31" s="8"/>
      <c r="H31" s="8"/>
      <c r="I31" s="8"/>
      <c r="J31" s="8"/>
      <c r="K31" s="8"/>
      <c r="L31" s="10"/>
      <c r="M31" s="8"/>
      <c r="N31" s="8"/>
    </row>
    <row r="32" customFormat="false" ht="15" hidden="false" customHeight="false" outlineLevel="0" collapsed="false">
      <c r="A32" s="8"/>
      <c r="B32" s="9"/>
      <c r="C32" s="8"/>
      <c r="D32" s="8"/>
      <c r="E32" s="8"/>
      <c r="F32" s="8"/>
      <c r="G32" s="8"/>
      <c r="H32" s="8"/>
      <c r="I32" s="8"/>
      <c r="J32" s="8"/>
      <c r="K32" s="8"/>
      <c r="L32" s="10"/>
      <c r="M32" s="8"/>
      <c r="N32" s="8"/>
    </row>
    <row r="33" customFormat="false" ht="15" hidden="false" customHeight="false" outlineLevel="0" collapsed="false">
      <c r="A33" s="8"/>
      <c r="B33" s="9"/>
      <c r="C33" s="8"/>
      <c r="D33" s="8"/>
      <c r="E33" s="8"/>
      <c r="F33" s="8"/>
      <c r="G33" s="8"/>
      <c r="H33" s="8"/>
      <c r="I33" s="8"/>
      <c r="J33" s="8"/>
      <c r="K33" s="8"/>
      <c r="L33" s="10"/>
      <c r="M33" s="8"/>
      <c r="N33" s="8"/>
    </row>
    <row r="34" customFormat="false" ht="15" hidden="false" customHeight="false" outlineLevel="0" collapsed="false">
      <c r="A34" s="8"/>
      <c r="B34" s="9"/>
      <c r="C34" s="8"/>
      <c r="D34" s="8"/>
      <c r="E34" s="8"/>
      <c r="F34" s="8"/>
      <c r="G34" s="8"/>
      <c r="H34" s="8"/>
      <c r="I34" s="8"/>
      <c r="J34" s="8"/>
      <c r="K34" s="8"/>
      <c r="L34" s="10"/>
      <c r="M34" s="8"/>
      <c r="N34" s="8"/>
    </row>
    <row r="35" customFormat="false" ht="15" hidden="false" customHeight="false" outlineLevel="0" collapsed="false">
      <c r="A35" s="8"/>
      <c r="B35" s="9"/>
      <c r="C35" s="8"/>
      <c r="D35" s="8"/>
      <c r="E35" s="8"/>
      <c r="F35" s="8"/>
      <c r="G35" s="8"/>
      <c r="H35" s="8"/>
      <c r="I35" s="8"/>
      <c r="J35" s="8"/>
      <c r="K35" s="8"/>
      <c r="L35" s="10"/>
      <c r="M35" s="8"/>
      <c r="N35" s="8"/>
    </row>
    <row r="36" customFormat="false" ht="15" hidden="false" customHeight="false" outlineLevel="0" collapsed="false">
      <c r="A36" s="8"/>
      <c r="B36" s="9"/>
      <c r="C36" s="8"/>
      <c r="D36" s="8"/>
      <c r="E36" s="8"/>
      <c r="F36" s="8"/>
      <c r="G36" s="8"/>
      <c r="H36" s="8"/>
      <c r="I36" s="8"/>
      <c r="J36" s="8"/>
      <c r="K36" s="8"/>
      <c r="L36" s="10"/>
      <c r="M36" s="8"/>
      <c r="N36" s="8"/>
    </row>
    <row r="37" customFormat="false" ht="15" hidden="false" customHeight="false" outlineLevel="0" collapsed="false">
      <c r="A37" s="8"/>
      <c r="B37" s="9"/>
      <c r="C37" s="8"/>
      <c r="D37" s="8"/>
      <c r="E37" s="8"/>
      <c r="F37" s="8"/>
      <c r="G37" s="8"/>
      <c r="H37" s="8"/>
      <c r="I37" s="8"/>
      <c r="J37" s="8"/>
      <c r="K37" s="8"/>
      <c r="L37" s="10"/>
      <c r="M37" s="8"/>
      <c r="N37" s="8"/>
    </row>
    <row r="38" customFormat="false" ht="15" hidden="false" customHeight="false" outlineLevel="0" collapsed="false">
      <c r="A38" s="8"/>
      <c r="B38" s="9"/>
      <c r="C38" s="8"/>
      <c r="D38" s="8"/>
      <c r="E38" s="8"/>
      <c r="F38" s="8"/>
      <c r="G38" s="8"/>
      <c r="H38" s="8"/>
      <c r="I38" s="8"/>
      <c r="J38" s="8"/>
      <c r="K38" s="8"/>
      <c r="L38" s="10"/>
      <c r="M38" s="8"/>
      <c r="N38" s="8"/>
    </row>
    <row r="39" customFormat="false" ht="15" hidden="false" customHeight="false" outlineLevel="0" collapsed="false">
      <c r="A39" s="8"/>
      <c r="B39" s="9"/>
      <c r="C39" s="8"/>
      <c r="D39" s="8"/>
      <c r="E39" s="8"/>
      <c r="F39" s="8"/>
      <c r="G39" s="8"/>
      <c r="H39" s="8"/>
      <c r="I39" s="8"/>
      <c r="J39" s="8"/>
      <c r="K39" s="8"/>
      <c r="L39" s="10"/>
      <c r="M39" s="8"/>
      <c r="N39" s="8"/>
    </row>
    <row r="40" customFormat="false" ht="15" hidden="false" customHeight="false" outlineLevel="0" collapsed="false">
      <c r="A40" s="8"/>
      <c r="B40" s="9"/>
      <c r="C40" s="8"/>
      <c r="D40" s="8"/>
      <c r="E40" s="8"/>
      <c r="F40" s="8"/>
      <c r="G40" s="8"/>
      <c r="H40" s="8"/>
      <c r="I40" s="8"/>
      <c r="J40" s="8"/>
      <c r="K40" s="8"/>
      <c r="L40" s="10"/>
      <c r="M40" s="8"/>
      <c r="N40" s="8"/>
    </row>
    <row r="41" customFormat="false" ht="15" hidden="false" customHeight="false" outlineLevel="0" collapsed="false">
      <c r="A41" s="8"/>
      <c r="B41" s="9"/>
      <c r="C41" s="8"/>
      <c r="D41" s="8"/>
      <c r="E41" s="8"/>
      <c r="F41" s="8"/>
      <c r="G41" s="8"/>
      <c r="H41" s="8"/>
      <c r="I41" s="8"/>
      <c r="J41" s="8"/>
      <c r="K41" s="8"/>
      <c r="L41" s="10"/>
      <c r="M41" s="8"/>
      <c r="N41" s="8"/>
    </row>
    <row r="42" customFormat="false" ht="15" hidden="false" customHeight="false" outlineLevel="0" collapsed="false">
      <c r="A42" s="8"/>
      <c r="B42" s="9"/>
      <c r="C42" s="8"/>
      <c r="D42" s="8"/>
      <c r="E42" s="8"/>
      <c r="F42" s="8"/>
      <c r="G42" s="8"/>
      <c r="H42" s="8"/>
      <c r="I42" s="8"/>
      <c r="J42" s="8"/>
      <c r="K42" s="8"/>
      <c r="L42" s="10"/>
      <c r="M42" s="8"/>
      <c r="N42" s="8"/>
    </row>
    <row r="43" customFormat="false" ht="15" hidden="false" customHeight="false" outlineLevel="0" collapsed="false">
      <c r="A43" s="8"/>
      <c r="B43" s="9"/>
      <c r="C43" s="8"/>
      <c r="D43" s="8"/>
      <c r="E43" s="8"/>
      <c r="F43" s="8"/>
      <c r="G43" s="8"/>
      <c r="H43" s="8"/>
      <c r="I43" s="8"/>
      <c r="J43" s="8"/>
      <c r="K43" s="8"/>
      <c r="L43" s="10"/>
      <c r="M43" s="8"/>
      <c r="N43" s="8"/>
    </row>
    <row r="44" customFormat="false" ht="15" hidden="false" customHeight="false" outlineLevel="0" collapsed="false">
      <c r="A44" s="8"/>
      <c r="B44" s="9"/>
      <c r="C44" s="8"/>
      <c r="D44" s="8"/>
      <c r="E44" s="8"/>
      <c r="F44" s="8"/>
      <c r="G44" s="8"/>
      <c r="H44" s="8"/>
      <c r="I44" s="8"/>
      <c r="J44" s="8"/>
      <c r="K44" s="8"/>
      <c r="L44" s="10"/>
      <c r="M44" s="8"/>
      <c r="N44" s="8"/>
    </row>
    <row r="45" customFormat="false" ht="15" hidden="false" customHeight="false" outlineLevel="0" collapsed="false">
      <c r="A45" s="8"/>
      <c r="B45" s="9"/>
      <c r="C45" s="8"/>
      <c r="D45" s="8"/>
      <c r="E45" s="8"/>
      <c r="F45" s="8"/>
      <c r="G45" s="8"/>
      <c r="H45" s="8"/>
      <c r="I45" s="8"/>
      <c r="J45" s="8"/>
      <c r="K45" s="8"/>
      <c r="L45" s="10"/>
      <c r="M45" s="8"/>
      <c r="N45" s="8"/>
    </row>
    <row r="46" customFormat="false" ht="15" hidden="false" customHeight="false" outlineLevel="0" collapsed="false">
      <c r="A46" s="8"/>
      <c r="B46" s="9"/>
      <c r="C46" s="8"/>
      <c r="D46" s="8"/>
      <c r="E46" s="8"/>
      <c r="F46" s="8"/>
      <c r="G46" s="8"/>
      <c r="H46" s="8"/>
      <c r="I46" s="8"/>
      <c r="J46" s="8"/>
      <c r="K46" s="8"/>
      <c r="L46" s="10"/>
      <c r="M46" s="8"/>
      <c r="N46" s="8"/>
    </row>
    <row r="47" customFormat="false" ht="15" hidden="false" customHeight="false" outlineLevel="0" collapsed="false">
      <c r="A47" s="8"/>
      <c r="B47" s="9"/>
      <c r="C47" s="8"/>
      <c r="D47" s="8"/>
      <c r="E47" s="8"/>
      <c r="F47" s="8"/>
      <c r="G47" s="8"/>
      <c r="H47" s="8"/>
      <c r="I47" s="8"/>
      <c r="J47" s="8"/>
      <c r="K47" s="8"/>
      <c r="L47" s="10"/>
      <c r="M47" s="8"/>
      <c r="N47" s="8"/>
    </row>
    <row r="48" customFormat="false" ht="15" hidden="false" customHeight="false" outlineLevel="0" collapsed="false">
      <c r="A48" s="8"/>
      <c r="B48" s="9"/>
      <c r="C48" s="8"/>
      <c r="D48" s="8"/>
      <c r="E48" s="8"/>
      <c r="F48" s="8"/>
      <c r="G48" s="8"/>
      <c r="H48" s="8"/>
      <c r="I48" s="8"/>
      <c r="J48" s="8"/>
      <c r="K48" s="8"/>
      <c r="L48" s="10"/>
      <c r="M48" s="8"/>
      <c r="N48" s="8"/>
    </row>
    <row r="49" customFormat="false" ht="15" hidden="false" customHeight="false" outlineLevel="0" collapsed="false">
      <c r="A49" s="8"/>
      <c r="B49" s="9"/>
      <c r="C49" s="8"/>
      <c r="D49" s="8"/>
      <c r="E49" s="8"/>
      <c r="F49" s="8"/>
      <c r="G49" s="8"/>
      <c r="H49" s="8"/>
      <c r="I49" s="8"/>
      <c r="J49" s="8"/>
      <c r="K49" s="8"/>
      <c r="L49" s="10"/>
      <c r="M49" s="8"/>
      <c r="N49" s="8"/>
    </row>
    <row r="50" customFormat="false" ht="15" hidden="false" customHeight="false" outlineLevel="0" collapsed="false">
      <c r="A50" s="8"/>
      <c r="B50" s="9"/>
      <c r="C50" s="8"/>
      <c r="D50" s="8"/>
      <c r="E50" s="8"/>
      <c r="F50" s="8"/>
      <c r="G50" s="8"/>
      <c r="H50" s="8"/>
      <c r="I50" s="8"/>
      <c r="J50" s="8"/>
      <c r="K50" s="8"/>
      <c r="L50" s="10"/>
      <c r="M50" s="8"/>
      <c r="N50" s="8"/>
    </row>
    <row r="51" customFormat="false" ht="15" hidden="false" customHeight="false" outlineLevel="0" collapsed="false">
      <c r="A51" s="8"/>
      <c r="B51" s="9"/>
      <c r="C51" s="8"/>
      <c r="D51" s="8"/>
      <c r="E51" s="8"/>
      <c r="F51" s="8"/>
      <c r="G51" s="8"/>
      <c r="H51" s="8"/>
      <c r="I51" s="8"/>
      <c r="J51" s="8"/>
      <c r="K51" s="8"/>
      <c r="L51" s="10"/>
      <c r="M51" s="8"/>
      <c r="N51" s="8"/>
    </row>
    <row r="52" customFormat="false" ht="15" hidden="false" customHeight="false" outlineLevel="0" collapsed="false">
      <c r="A52" s="8"/>
      <c r="B52" s="9"/>
      <c r="C52" s="8"/>
      <c r="D52" s="8"/>
      <c r="E52" s="8"/>
      <c r="F52" s="8"/>
      <c r="G52" s="8"/>
      <c r="H52" s="8"/>
      <c r="I52" s="8"/>
      <c r="J52" s="8"/>
      <c r="K52" s="8"/>
      <c r="L52" s="10"/>
      <c r="M52" s="8"/>
      <c r="N52" s="8"/>
    </row>
    <row r="53" customFormat="false" ht="15" hidden="false" customHeight="false" outlineLevel="0" collapsed="false">
      <c r="A53" s="8"/>
      <c r="B53" s="9"/>
      <c r="C53" s="8"/>
      <c r="D53" s="8"/>
      <c r="E53" s="8"/>
      <c r="F53" s="8"/>
      <c r="G53" s="8"/>
      <c r="H53" s="8"/>
      <c r="I53" s="8"/>
      <c r="J53" s="8"/>
      <c r="K53" s="8"/>
      <c r="L53" s="10"/>
      <c r="M53" s="8"/>
      <c r="N53" s="8"/>
    </row>
    <row r="54" customFormat="false" ht="15" hidden="false" customHeight="false" outlineLevel="0" collapsed="false">
      <c r="A54" s="8"/>
      <c r="B54" s="9"/>
      <c r="C54" s="8"/>
      <c r="D54" s="8"/>
      <c r="E54" s="8"/>
      <c r="F54" s="8"/>
      <c r="G54" s="8"/>
      <c r="H54" s="8"/>
      <c r="I54" s="8"/>
      <c r="J54" s="8"/>
      <c r="K54" s="8"/>
      <c r="L54" s="10"/>
      <c r="M54" s="8"/>
      <c r="N54" s="8"/>
    </row>
    <row r="55" customFormat="false" ht="15" hidden="false" customHeight="false" outlineLevel="0" collapsed="false">
      <c r="A55" s="8"/>
      <c r="B55" s="9"/>
      <c r="C55" s="8"/>
      <c r="D55" s="8"/>
      <c r="E55" s="8"/>
      <c r="F55" s="8"/>
      <c r="G55" s="8"/>
      <c r="H55" s="8"/>
      <c r="I55" s="8"/>
      <c r="J55" s="8"/>
      <c r="K55" s="8"/>
      <c r="L55" s="10"/>
      <c r="M55" s="8"/>
      <c r="N55" s="8"/>
    </row>
    <row r="56" customFormat="false" ht="15" hidden="false" customHeight="false" outlineLevel="0" collapsed="false">
      <c r="A56" s="8"/>
      <c r="B56" s="9"/>
      <c r="C56" s="8"/>
      <c r="D56" s="8"/>
      <c r="E56" s="8"/>
      <c r="F56" s="8"/>
      <c r="G56" s="8"/>
      <c r="H56" s="8"/>
      <c r="I56" s="8"/>
      <c r="J56" s="8"/>
      <c r="K56" s="8"/>
      <c r="L56" s="10"/>
      <c r="M56" s="8"/>
      <c r="N56" s="8"/>
    </row>
    <row r="57" customFormat="false" ht="15" hidden="false" customHeight="false" outlineLevel="0" collapsed="false">
      <c r="A57" s="8"/>
      <c r="B57" s="9"/>
      <c r="C57" s="8"/>
      <c r="D57" s="8"/>
      <c r="E57" s="8"/>
      <c r="F57" s="8"/>
      <c r="G57" s="8"/>
      <c r="H57" s="8"/>
      <c r="I57" s="8"/>
      <c r="J57" s="8"/>
      <c r="K57" s="8"/>
      <c r="L57" s="10"/>
      <c r="M57" s="8"/>
      <c r="N57" s="8"/>
    </row>
    <row r="58" customFormat="false" ht="15" hidden="false" customHeight="false" outlineLevel="0" collapsed="false">
      <c r="A58" s="8"/>
      <c r="B58" s="9"/>
      <c r="C58" s="8"/>
      <c r="D58" s="8"/>
      <c r="E58" s="8"/>
      <c r="F58" s="8"/>
      <c r="G58" s="8"/>
      <c r="H58" s="8"/>
      <c r="I58" s="8"/>
      <c r="J58" s="8"/>
      <c r="K58" s="8"/>
      <c r="L58" s="10"/>
      <c r="M58" s="8"/>
      <c r="N58" s="8"/>
    </row>
    <row r="59" customFormat="false" ht="15" hidden="false" customHeight="false" outlineLevel="0" collapsed="false">
      <c r="A59" s="8"/>
      <c r="B59" s="9"/>
      <c r="C59" s="8"/>
      <c r="D59" s="8"/>
      <c r="E59" s="8"/>
      <c r="F59" s="8"/>
      <c r="G59" s="8"/>
      <c r="H59" s="8"/>
      <c r="I59" s="8"/>
      <c r="J59" s="8"/>
      <c r="K59" s="8"/>
      <c r="L59" s="10"/>
      <c r="M59" s="8"/>
      <c r="N59" s="8"/>
    </row>
    <row r="60" customFormat="false" ht="15" hidden="false" customHeight="false" outlineLevel="0" collapsed="false">
      <c r="A60" s="8"/>
      <c r="B60" s="9"/>
      <c r="C60" s="8"/>
      <c r="D60" s="8"/>
      <c r="E60" s="8"/>
      <c r="F60" s="8"/>
      <c r="G60" s="8"/>
      <c r="H60" s="8"/>
      <c r="I60" s="8"/>
      <c r="J60" s="8"/>
      <c r="K60" s="8"/>
      <c r="L60" s="10"/>
      <c r="M60" s="8"/>
      <c r="N60" s="8"/>
    </row>
    <row r="61" customFormat="false" ht="15" hidden="false" customHeight="false" outlineLevel="0" collapsed="false">
      <c r="A61" s="8"/>
      <c r="B61" s="9"/>
      <c r="C61" s="8"/>
      <c r="D61" s="8"/>
      <c r="E61" s="8"/>
      <c r="F61" s="8"/>
      <c r="G61" s="8"/>
      <c r="H61" s="8"/>
      <c r="I61" s="8"/>
      <c r="J61" s="8"/>
      <c r="K61" s="8"/>
      <c r="L61" s="10"/>
      <c r="M61" s="8"/>
      <c r="N61" s="8"/>
    </row>
    <row r="62" customFormat="false" ht="15" hidden="false" customHeight="false" outlineLevel="0" collapsed="false">
      <c r="A62" s="8"/>
      <c r="B62" s="9"/>
      <c r="C62" s="8"/>
      <c r="D62" s="8"/>
      <c r="E62" s="8"/>
      <c r="F62" s="8"/>
      <c r="G62" s="8"/>
      <c r="H62" s="8"/>
      <c r="I62" s="8"/>
      <c r="J62" s="8"/>
      <c r="K62" s="8"/>
      <c r="L62" s="10"/>
      <c r="M62" s="8"/>
      <c r="N62" s="8"/>
    </row>
    <row r="63" customFormat="false" ht="15" hidden="false" customHeight="false" outlineLevel="0" collapsed="false">
      <c r="A63" s="8"/>
      <c r="B63" s="9"/>
      <c r="C63" s="8"/>
      <c r="D63" s="8"/>
      <c r="E63" s="8"/>
      <c r="F63" s="8"/>
      <c r="G63" s="8"/>
      <c r="H63" s="8"/>
      <c r="I63" s="8"/>
      <c r="J63" s="8"/>
      <c r="K63" s="8"/>
      <c r="L63" s="10"/>
      <c r="M63" s="8"/>
      <c r="N63" s="8"/>
    </row>
    <row r="64" customFormat="false" ht="15" hidden="false" customHeight="false" outlineLevel="0" collapsed="false">
      <c r="A64" s="8"/>
      <c r="B64" s="9"/>
      <c r="C64" s="8"/>
      <c r="D64" s="8"/>
      <c r="E64" s="8"/>
      <c r="F64" s="8"/>
      <c r="G64" s="8"/>
      <c r="H64" s="8"/>
      <c r="I64" s="8"/>
      <c r="J64" s="8"/>
      <c r="K64" s="8"/>
      <c r="L64" s="10"/>
      <c r="M64" s="8"/>
      <c r="N64" s="8"/>
    </row>
    <row r="65" customFormat="false" ht="15" hidden="false" customHeight="false" outlineLevel="0" collapsed="false">
      <c r="A65" s="8"/>
      <c r="B65" s="9"/>
      <c r="C65" s="8"/>
      <c r="D65" s="8"/>
      <c r="E65" s="8"/>
      <c r="F65" s="8"/>
      <c r="G65" s="8"/>
      <c r="H65" s="8"/>
      <c r="I65" s="8"/>
      <c r="J65" s="8"/>
      <c r="K65" s="8"/>
      <c r="L65" s="10"/>
      <c r="M65" s="8"/>
      <c r="N65" s="8"/>
    </row>
    <row r="66" customFormat="false" ht="15" hidden="false" customHeight="false" outlineLevel="0" collapsed="false">
      <c r="A66" s="8"/>
      <c r="B66" s="9"/>
      <c r="C66" s="8"/>
      <c r="D66" s="8"/>
      <c r="E66" s="8"/>
      <c r="F66" s="8"/>
      <c r="G66" s="8"/>
      <c r="H66" s="8"/>
      <c r="I66" s="8"/>
      <c r="J66" s="8"/>
      <c r="K66" s="8"/>
      <c r="L66" s="10"/>
      <c r="M66" s="8"/>
      <c r="N66" s="8"/>
    </row>
    <row r="67" customFormat="false" ht="15" hidden="false" customHeight="false" outlineLevel="0" collapsed="false">
      <c r="A67" s="8"/>
      <c r="B67" s="9"/>
      <c r="C67" s="8"/>
      <c r="D67" s="8"/>
      <c r="E67" s="8"/>
      <c r="F67" s="8"/>
      <c r="G67" s="8"/>
      <c r="H67" s="8"/>
      <c r="I67" s="8"/>
      <c r="J67" s="8"/>
      <c r="K67" s="8"/>
      <c r="L67" s="10"/>
      <c r="M67" s="8"/>
      <c r="N67" s="8"/>
    </row>
    <row r="68" customFormat="false" ht="15" hidden="false" customHeight="false" outlineLevel="0" collapsed="false">
      <c r="A68" s="8"/>
      <c r="B68" s="9"/>
      <c r="C68" s="8"/>
      <c r="D68" s="8"/>
      <c r="E68" s="8"/>
      <c r="F68" s="8"/>
      <c r="G68" s="8"/>
      <c r="H68" s="8"/>
      <c r="I68" s="8"/>
      <c r="J68" s="8"/>
      <c r="K68" s="8"/>
      <c r="L68" s="10"/>
      <c r="M68" s="8"/>
      <c r="N68" s="8"/>
    </row>
    <row r="69" customFormat="false" ht="15" hidden="false" customHeight="false" outlineLevel="0" collapsed="false">
      <c r="A69" s="8"/>
      <c r="B69" s="9"/>
      <c r="C69" s="8"/>
      <c r="D69" s="8"/>
      <c r="E69" s="8"/>
      <c r="F69" s="8"/>
      <c r="G69" s="8"/>
      <c r="H69" s="8"/>
      <c r="I69" s="8"/>
      <c r="J69" s="8"/>
      <c r="K69" s="8"/>
      <c r="L69" s="10"/>
      <c r="M69" s="8"/>
      <c r="N69" s="8"/>
    </row>
    <row r="70" customFormat="false" ht="15" hidden="false" customHeight="false" outlineLevel="0" collapsed="false">
      <c r="A70" s="8"/>
      <c r="B70" s="9"/>
      <c r="C70" s="8"/>
      <c r="D70" s="8"/>
      <c r="E70" s="8"/>
      <c r="F70" s="8"/>
      <c r="G70" s="8"/>
      <c r="H70" s="8"/>
      <c r="I70" s="8"/>
      <c r="J70" s="8"/>
      <c r="K70" s="8"/>
      <c r="L70" s="10"/>
      <c r="M70" s="8"/>
      <c r="N70" s="8"/>
    </row>
    <row r="71" customFormat="false" ht="15" hidden="false" customHeight="false" outlineLevel="0" collapsed="false">
      <c r="A71" s="8"/>
      <c r="B71" s="9"/>
      <c r="C71" s="8"/>
      <c r="D71" s="8"/>
      <c r="E71" s="8"/>
      <c r="F71" s="8"/>
      <c r="G71" s="8"/>
      <c r="H71" s="8"/>
      <c r="I71" s="8"/>
      <c r="J71" s="8"/>
      <c r="K71" s="8"/>
      <c r="L71" s="10"/>
      <c r="M71" s="8"/>
      <c r="N71" s="8"/>
    </row>
    <row r="72" customFormat="false" ht="15" hidden="false" customHeight="false" outlineLevel="0" collapsed="false">
      <c r="A72" s="8"/>
      <c r="B72" s="9"/>
      <c r="C72" s="8"/>
      <c r="D72" s="8"/>
      <c r="E72" s="8"/>
      <c r="F72" s="8"/>
      <c r="G72" s="8"/>
      <c r="H72" s="8"/>
      <c r="I72" s="8"/>
      <c r="J72" s="8"/>
      <c r="K72" s="8"/>
      <c r="L72" s="10"/>
      <c r="M72" s="8"/>
      <c r="N72" s="8"/>
    </row>
    <row r="73" customFormat="false" ht="15" hidden="false" customHeight="false" outlineLevel="0" collapsed="false">
      <c r="A73" s="8"/>
      <c r="B73" s="9"/>
      <c r="C73" s="8"/>
      <c r="D73" s="8"/>
      <c r="E73" s="8"/>
      <c r="F73" s="8"/>
      <c r="G73" s="8"/>
      <c r="H73" s="8"/>
      <c r="I73" s="8"/>
      <c r="J73" s="8"/>
      <c r="K73" s="8"/>
      <c r="L73" s="10"/>
      <c r="M73" s="8"/>
      <c r="N73" s="8"/>
    </row>
    <row r="74" customFormat="false" ht="15" hidden="false" customHeight="false" outlineLevel="0" collapsed="false">
      <c r="A74" s="8"/>
      <c r="B74" s="9"/>
      <c r="C74" s="8"/>
      <c r="D74" s="8"/>
      <c r="E74" s="8"/>
      <c r="F74" s="8"/>
      <c r="G74" s="8"/>
      <c r="H74" s="8"/>
      <c r="I74" s="8"/>
      <c r="J74" s="8"/>
      <c r="K74" s="8"/>
      <c r="L74" s="10"/>
      <c r="M74" s="8"/>
      <c r="N74" s="8"/>
    </row>
    <row r="75" customFormat="false" ht="15" hidden="false" customHeight="false" outlineLevel="0" collapsed="false">
      <c r="A75" s="8"/>
      <c r="B75" s="9"/>
      <c r="C75" s="8"/>
      <c r="D75" s="8"/>
      <c r="E75" s="8"/>
      <c r="F75" s="8"/>
      <c r="G75" s="8"/>
      <c r="H75" s="8"/>
      <c r="I75" s="8"/>
      <c r="J75" s="8"/>
      <c r="K75" s="8"/>
      <c r="L75" s="10"/>
      <c r="M75" s="8"/>
      <c r="N75" s="8"/>
    </row>
    <row r="76" customFormat="false" ht="15" hidden="false" customHeight="false" outlineLevel="0" collapsed="false">
      <c r="A76" s="8"/>
      <c r="B76" s="9"/>
      <c r="C76" s="8"/>
      <c r="D76" s="8"/>
      <c r="E76" s="8"/>
      <c r="F76" s="8"/>
      <c r="G76" s="8"/>
      <c r="H76" s="8"/>
      <c r="I76" s="8"/>
      <c r="J76" s="8"/>
      <c r="K76" s="8"/>
      <c r="L76" s="10"/>
      <c r="M76" s="8"/>
      <c r="N76" s="8"/>
    </row>
    <row r="77" customFormat="false" ht="15" hidden="false" customHeight="false" outlineLevel="0" collapsed="false">
      <c r="A77" s="8"/>
      <c r="B77" s="9"/>
      <c r="C77" s="8"/>
      <c r="D77" s="8"/>
      <c r="E77" s="8"/>
      <c r="F77" s="8"/>
      <c r="G77" s="8"/>
      <c r="H77" s="8"/>
      <c r="I77" s="8"/>
      <c r="J77" s="8"/>
      <c r="K77" s="8"/>
      <c r="L77" s="10"/>
      <c r="M77" s="8"/>
      <c r="N77" s="8"/>
    </row>
    <row r="78" customFormat="false" ht="15" hidden="false" customHeight="false" outlineLevel="0" collapsed="false">
      <c r="A78" s="8"/>
      <c r="B78" s="9"/>
      <c r="C78" s="8"/>
      <c r="D78" s="8"/>
      <c r="E78" s="8"/>
      <c r="F78" s="8"/>
      <c r="G78" s="8"/>
      <c r="H78" s="8"/>
      <c r="I78" s="8"/>
      <c r="J78" s="8"/>
      <c r="K78" s="8"/>
      <c r="L78" s="10"/>
      <c r="M78" s="8"/>
      <c r="N78" s="8"/>
    </row>
    <row r="79" customFormat="false" ht="15" hidden="false" customHeight="false" outlineLevel="0" collapsed="false">
      <c r="A79" s="8"/>
      <c r="B79" s="9"/>
      <c r="C79" s="8"/>
      <c r="D79" s="8"/>
      <c r="E79" s="8"/>
      <c r="F79" s="8"/>
      <c r="G79" s="8"/>
      <c r="H79" s="8"/>
      <c r="I79" s="8"/>
      <c r="J79" s="8"/>
      <c r="K79" s="8"/>
      <c r="L79" s="10"/>
      <c r="M79" s="8"/>
      <c r="N79" s="8"/>
    </row>
    <row r="80" customFormat="false" ht="15" hidden="false" customHeight="false" outlineLevel="0" collapsed="false">
      <c r="A80" s="8"/>
      <c r="B80" s="9"/>
      <c r="C80" s="8"/>
      <c r="D80" s="8"/>
      <c r="E80" s="8"/>
      <c r="F80" s="8"/>
      <c r="G80" s="8"/>
      <c r="H80" s="8"/>
      <c r="I80" s="8"/>
      <c r="J80" s="8"/>
      <c r="K80" s="8"/>
      <c r="L80" s="10"/>
      <c r="M80" s="8"/>
      <c r="N80" s="8"/>
    </row>
    <row r="81" customFormat="false" ht="15" hidden="false" customHeight="false" outlineLevel="0" collapsed="false">
      <c r="A81" s="8"/>
      <c r="B81" s="9"/>
      <c r="C81" s="8"/>
      <c r="D81" s="8"/>
      <c r="E81" s="8"/>
      <c r="F81" s="8"/>
      <c r="G81" s="8"/>
      <c r="H81" s="8"/>
      <c r="I81" s="8"/>
      <c r="J81" s="8"/>
      <c r="K81" s="8"/>
      <c r="L81" s="10"/>
      <c r="M81" s="8"/>
      <c r="N81" s="8"/>
    </row>
    <row r="82" customFormat="false" ht="15" hidden="false" customHeight="false" outlineLevel="0" collapsed="false">
      <c r="A82" s="8"/>
      <c r="B82" s="9"/>
      <c r="C82" s="8"/>
      <c r="D82" s="8"/>
      <c r="E82" s="8"/>
      <c r="F82" s="8"/>
      <c r="G82" s="8"/>
      <c r="H82" s="8"/>
      <c r="I82" s="8"/>
      <c r="J82" s="8"/>
      <c r="K82" s="8"/>
      <c r="L82" s="10"/>
      <c r="M82" s="8"/>
      <c r="N82" s="8"/>
    </row>
    <row r="83" customFormat="false" ht="15" hidden="false" customHeight="false" outlineLevel="0" collapsed="false">
      <c r="A83" s="8"/>
      <c r="B83" s="9"/>
      <c r="C83" s="8"/>
      <c r="D83" s="8"/>
      <c r="E83" s="8"/>
      <c r="F83" s="8"/>
      <c r="G83" s="8"/>
      <c r="H83" s="8"/>
      <c r="I83" s="8"/>
      <c r="J83" s="8"/>
      <c r="K83" s="8"/>
      <c r="L83" s="10"/>
      <c r="M83" s="8"/>
      <c r="N83" s="8"/>
    </row>
    <row r="84" customFormat="false" ht="15" hidden="false" customHeight="false" outlineLevel="0" collapsed="false">
      <c r="A84" s="8"/>
      <c r="B84" s="9"/>
      <c r="C84" s="8"/>
      <c r="D84" s="8"/>
      <c r="E84" s="8"/>
      <c r="F84" s="8"/>
      <c r="G84" s="8"/>
      <c r="H84" s="8"/>
      <c r="I84" s="8"/>
      <c r="J84" s="8"/>
      <c r="K84" s="8"/>
      <c r="L84" s="10"/>
      <c r="M84" s="8"/>
      <c r="N84" s="8"/>
    </row>
    <row r="85" customFormat="false" ht="15" hidden="false" customHeight="false" outlineLevel="0" collapsed="false">
      <c r="A85" s="8"/>
      <c r="B85" s="9"/>
      <c r="C85" s="8"/>
      <c r="D85" s="8"/>
      <c r="E85" s="8"/>
      <c r="F85" s="8"/>
      <c r="G85" s="8"/>
      <c r="H85" s="8"/>
      <c r="I85" s="8"/>
      <c r="J85" s="8"/>
      <c r="K85" s="8"/>
      <c r="L85" s="10"/>
      <c r="M85" s="8"/>
      <c r="N85" s="8"/>
    </row>
    <row r="86" customFormat="false" ht="15" hidden="false" customHeight="false" outlineLevel="0" collapsed="false">
      <c r="A86" s="8"/>
      <c r="B86" s="9"/>
      <c r="C86" s="8"/>
      <c r="D86" s="8"/>
      <c r="E86" s="8"/>
      <c r="F86" s="8"/>
      <c r="G86" s="8"/>
      <c r="H86" s="8"/>
      <c r="I86" s="8"/>
      <c r="J86" s="8"/>
      <c r="K86" s="8"/>
      <c r="L86" s="10"/>
      <c r="M86" s="8"/>
      <c r="N86" s="8"/>
    </row>
    <row r="87" customFormat="false" ht="15" hidden="false" customHeight="false" outlineLevel="0" collapsed="false">
      <c r="A87" s="8"/>
      <c r="B87" s="9"/>
      <c r="C87" s="8"/>
      <c r="D87" s="8"/>
      <c r="E87" s="8"/>
      <c r="F87" s="8"/>
      <c r="G87" s="8"/>
      <c r="H87" s="8"/>
      <c r="I87" s="8"/>
      <c r="J87" s="8"/>
      <c r="K87" s="8"/>
      <c r="L87" s="10"/>
      <c r="M87" s="8"/>
      <c r="N87" s="8"/>
    </row>
    <row r="88" customFormat="false" ht="15" hidden="false" customHeight="false" outlineLevel="0" collapsed="false">
      <c r="A88" s="8"/>
      <c r="B88" s="9"/>
      <c r="C88" s="8"/>
      <c r="D88" s="8"/>
      <c r="E88" s="8"/>
      <c r="F88" s="8"/>
      <c r="G88" s="8"/>
      <c r="H88" s="8"/>
      <c r="I88" s="8"/>
      <c r="J88" s="8"/>
      <c r="K88" s="8"/>
      <c r="L88" s="10"/>
      <c r="M88" s="8"/>
      <c r="N88" s="8"/>
    </row>
    <row r="89" customFormat="false" ht="15" hidden="false" customHeight="false" outlineLevel="0" collapsed="false">
      <c r="A89" s="8"/>
      <c r="B89" s="9"/>
      <c r="C89" s="8"/>
      <c r="D89" s="8"/>
      <c r="E89" s="8"/>
      <c r="F89" s="8"/>
      <c r="G89" s="8"/>
      <c r="H89" s="8"/>
      <c r="I89" s="8"/>
      <c r="J89" s="8"/>
      <c r="K89" s="8"/>
      <c r="L89" s="10"/>
      <c r="M89" s="8"/>
      <c r="N89" s="8"/>
    </row>
    <row r="90" customFormat="false" ht="15" hidden="false" customHeight="false" outlineLevel="0" collapsed="false">
      <c r="A90" s="8"/>
      <c r="B90" s="9"/>
      <c r="C90" s="8"/>
      <c r="D90" s="8"/>
      <c r="E90" s="8"/>
      <c r="F90" s="8"/>
      <c r="G90" s="8"/>
      <c r="H90" s="8"/>
      <c r="I90" s="8"/>
      <c r="J90" s="8"/>
      <c r="K90" s="8"/>
      <c r="L90" s="10"/>
      <c r="M90" s="8"/>
      <c r="N90" s="8"/>
    </row>
    <row r="91" customFormat="false" ht="15" hidden="false" customHeight="false" outlineLevel="0" collapsed="false">
      <c r="A91" s="8"/>
      <c r="B91" s="9"/>
      <c r="C91" s="8"/>
      <c r="D91" s="8"/>
      <c r="E91" s="8"/>
      <c r="F91" s="8"/>
      <c r="G91" s="8"/>
      <c r="H91" s="8"/>
      <c r="I91" s="8"/>
      <c r="J91" s="8"/>
      <c r="K91" s="8"/>
      <c r="L91" s="10"/>
      <c r="M91" s="8"/>
      <c r="N91" s="8"/>
    </row>
    <row r="92" customFormat="false" ht="15" hidden="false" customHeight="false" outlineLevel="0" collapsed="false">
      <c r="A92" s="8"/>
      <c r="B92" s="9"/>
      <c r="C92" s="8"/>
      <c r="D92" s="8"/>
      <c r="E92" s="8"/>
      <c r="F92" s="8"/>
      <c r="G92" s="8"/>
      <c r="H92" s="8"/>
      <c r="I92" s="8"/>
      <c r="J92" s="8"/>
      <c r="K92" s="8"/>
      <c r="L92" s="10"/>
      <c r="M92" s="8"/>
      <c r="N92" s="8"/>
    </row>
    <row r="93" customFormat="false" ht="15" hidden="false" customHeight="false" outlineLevel="0" collapsed="false">
      <c r="A93" s="8"/>
      <c r="B93" s="9"/>
      <c r="C93" s="8"/>
      <c r="D93" s="8"/>
      <c r="E93" s="8"/>
      <c r="F93" s="8"/>
      <c r="G93" s="8"/>
      <c r="H93" s="8"/>
      <c r="I93" s="8"/>
      <c r="J93" s="8"/>
      <c r="K93" s="8"/>
      <c r="L93" s="10"/>
      <c r="M93" s="8"/>
      <c r="N93" s="8"/>
    </row>
    <row r="94" customFormat="false" ht="15" hidden="false" customHeight="false" outlineLevel="0" collapsed="false">
      <c r="A94" s="8"/>
      <c r="B94" s="9"/>
      <c r="C94" s="8"/>
      <c r="D94" s="8"/>
      <c r="E94" s="8"/>
      <c r="F94" s="8"/>
      <c r="G94" s="8"/>
      <c r="H94" s="8"/>
      <c r="I94" s="8"/>
      <c r="J94" s="8"/>
      <c r="K94" s="8"/>
      <c r="L94" s="10"/>
      <c r="M94" s="8"/>
      <c r="N94" s="8"/>
    </row>
    <row r="95" customFormat="false" ht="15" hidden="false" customHeight="false" outlineLevel="0" collapsed="false">
      <c r="A95" s="8"/>
      <c r="B95" s="9"/>
      <c r="C95" s="8"/>
      <c r="D95" s="8"/>
      <c r="E95" s="8"/>
      <c r="F95" s="8"/>
      <c r="G95" s="8"/>
      <c r="H95" s="8"/>
      <c r="I95" s="8"/>
      <c r="J95" s="8"/>
      <c r="K95" s="8"/>
      <c r="L95" s="10"/>
      <c r="M95" s="8"/>
      <c r="N95" s="8"/>
    </row>
    <row r="96" customFormat="false" ht="15" hidden="false" customHeight="false" outlineLevel="0" collapsed="false">
      <c r="A96" s="8"/>
      <c r="B96" s="9"/>
      <c r="C96" s="8"/>
      <c r="D96" s="8"/>
      <c r="E96" s="8"/>
      <c r="F96" s="8"/>
      <c r="G96" s="8"/>
      <c r="H96" s="8"/>
      <c r="I96" s="8"/>
      <c r="J96" s="8"/>
      <c r="K96" s="8"/>
      <c r="L96" s="10"/>
      <c r="M96" s="8"/>
      <c r="N96" s="8"/>
    </row>
    <row r="97" customFormat="false" ht="15" hidden="false" customHeight="false" outlineLevel="0" collapsed="false">
      <c r="A97" s="8"/>
      <c r="B97" s="9"/>
      <c r="C97" s="8"/>
      <c r="D97" s="8"/>
      <c r="E97" s="8"/>
      <c r="F97" s="8"/>
      <c r="G97" s="8"/>
      <c r="H97" s="8"/>
      <c r="I97" s="8"/>
      <c r="J97" s="8"/>
      <c r="K97" s="8"/>
      <c r="L97" s="10"/>
      <c r="M97" s="8"/>
      <c r="N97" s="8"/>
    </row>
    <row r="98" customFormat="false" ht="15" hidden="false" customHeight="false" outlineLevel="0" collapsed="false">
      <c r="A98" s="8"/>
      <c r="B98" s="9"/>
      <c r="C98" s="8"/>
      <c r="D98" s="8"/>
      <c r="E98" s="8"/>
      <c r="F98" s="8"/>
      <c r="G98" s="8"/>
      <c r="H98" s="8"/>
      <c r="I98" s="8"/>
      <c r="J98" s="8"/>
      <c r="K98" s="8"/>
      <c r="L98" s="10"/>
      <c r="M98" s="8"/>
      <c r="N98" s="8"/>
    </row>
    <row r="99" customFormat="false" ht="15" hidden="false" customHeight="false" outlineLevel="0" collapsed="false">
      <c r="A99" s="8"/>
      <c r="B99" s="9"/>
      <c r="C99" s="8"/>
      <c r="D99" s="8"/>
      <c r="E99" s="8"/>
      <c r="F99" s="8"/>
      <c r="G99" s="8"/>
      <c r="H99" s="8"/>
      <c r="I99" s="8"/>
      <c r="J99" s="8"/>
      <c r="K99" s="8"/>
      <c r="L99" s="10"/>
      <c r="M99" s="8"/>
      <c r="N99" s="8"/>
    </row>
    <row r="100" customFormat="false" ht="15" hidden="false" customHeight="false" outlineLevel="0" collapsed="false">
      <c r="A100" s="8"/>
      <c r="B100" s="9"/>
      <c r="C100" s="8"/>
      <c r="D100" s="8"/>
      <c r="E100" s="8"/>
      <c r="F100" s="8"/>
      <c r="G100" s="8"/>
      <c r="H100" s="8"/>
      <c r="I100" s="8"/>
      <c r="J100" s="8"/>
      <c r="K100" s="8"/>
      <c r="L100" s="10"/>
      <c r="M100" s="8"/>
      <c r="N100" s="8"/>
    </row>
    <row r="101" customFormat="false" ht="15" hidden="false" customHeight="false" outlineLevel="0" collapsed="false">
      <c r="A101" s="8"/>
      <c r="B101" s="9"/>
      <c r="C101" s="8"/>
      <c r="D101" s="8"/>
      <c r="E101" s="8"/>
      <c r="F101" s="8"/>
      <c r="G101" s="8"/>
      <c r="H101" s="8"/>
      <c r="I101" s="8"/>
      <c r="J101" s="8"/>
      <c r="K101" s="8"/>
      <c r="L101" s="10"/>
      <c r="M101" s="8"/>
      <c r="N101" s="8"/>
    </row>
    <row r="102" customFormat="false" ht="15" hidden="false" customHeight="false" outlineLevel="0" collapsed="false">
      <c r="A102" s="8"/>
      <c r="B102" s="9"/>
      <c r="C102" s="8"/>
      <c r="D102" s="8"/>
      <c r="E102" s="8"/>
      <c r="F102" s="8"/>
      <c r="G102" s="8"/>
      <c r="H102" s="8"/>
      <c r="I102" s="8"/>
      <c r="J102" s="8"/>
      <c r="K102" s="8"/>
      <c r="L102" s="10"/>
      <c r="M102" s="8"/>
      <c r="N102" s="8"/>
    </row>
  </sheetData>
  <mergeCells count="11">
    <mergeCell ref="A1:A2"/>
    <mergeCell ref="B1:B2"/>
    <mergeCell ref="C1:C2"/>
    <mergeCell ref="D1:D2"/>
    <mergeCell ref="E1:E2"/>
    <mergeCell ref="F1:G1"/>
    <mergeCell ref="H1:I1"/>
    <mergeCell ref="J1:K1"/>
    <mergeCell ref="L1:L2"/>
    <mergeCell ref="M1:M2"/>
    <mergeCell ref="N1:N2"/>
  </mergeCells>
  <dataValidations count="3">
    <dataValidation allowBlank="true" error="La columna Tipo no admite texto libre: elija uno de los once valores de PARÁMETROS (Unidad 6)." errorStyle="stop" errorTitle="Catálogo cerrado" operator="between" prompt="Uno del catálogo cerrado de PARÁMETROS (11 valores)." promptTitle="Tipo" showDropDown="false" showErrorMessage="true" showInputMessage="true" sqref="C3:C102" type="list">
      <formula1>PARÁMETROS!$A$5:$A$15</formula1>
      <formula2>0</formula2>
    </dataValidation>
    <dataValidation allowBlank="true" error="No figura en UBICACIONES ni es «EXTERIOR». Dé de alta la ubicación antes de usarla (principio 3)." errorStyle="warning" errorTitle="Ubicación no dada de alta" operator="between" prompt="De UBICACIONES, o «EXTERIOR» (fuera del patrimonio)." promptTitle="Ubicación" showDropDown="false" showErrorMessage="true" showInputMessage="true" sqref="D3:E102" type="list">
      <formula1>UBICACIONES!$H$4:$H$34</formula1>
      <formula2>0</formula2>
    </dataValidation>
    <dataValidation allowBlank="true" error="Añádalo al catálogo de activos de PARÁMETROS para que SALDOS y CUADRE lo cubran." errorStyle="warning" errorTitle="Activo fuera del catálogo" operator="between" prompt="Del catálogo de activos de PARÁMETROS (ampliable)." promptTitle="Activo" showDropDown="false" showErrorMessage="true" showInputMessage="true" sqref="F3:F102 H3:H102 K3:K102" type="list">
      <formula1>PARÁMETROS!$A$20:$A$24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H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6"/>
    <col collapsed="false" customWidth="true" hidden="false" outlineLevel="0" max="5" min="3" style="0" width="14"/>
    <col collapsed="false" customWidth="true" hidden="false" outlineLevel="0" max="6" min="6" style="0" width="30"/>
    <col collapsed="false" customWidth="true" hidden="false" outlineLevel="0" max="8" min="8" style="0" width="26"/>
  </cols>
  <sheetData>
    <row r="1" customFormat="false" ht="24" hidden="false" customHeight="true" outlineLevel="0" collapsed="false">
      <c r="A1" s="1" t="s">
        <v>62</v>
      </c>
      <c r="B1" s="1"/>
      <c r="C1" s="1"/>
      <c r="D1" s="1"/>
      <c r="E1" s="1"/>
      <c r="F1" s="1"/>
    </row>
    <row r="2" customFormat="false" ht="15" hidden="false" customHeight="false" outlineLevel="0" collapsed="false">
      <c r="A2" s="11" t="s">
        <v>63</v>
      </c>
    </row>
    <row r="3" customFormat="false" ht="23.85" hidden="false" customHeight="false" outlineLevel="0" collapsed="false">
      <c r="A3" s="12" t="s">
        <v>64</v>
      </c>
      <c r="B3" s="12" t="s">
        <v>65</v>
      </c>
      <c r="C3" s="12" t="s">
        <v>66</v>
      </c>
      <c r="D3" s="12" t="s">
        <v>67</v>
      </c>
      <c r="E3" s="12" t="s">
        <v>68</v>
      </c>
      <c r="F3" s="12" t="s">
        <v>69</v>
      </c>
      <c r="H3" s="12" t="s">
        <v>70</v>
      </c>
    </row>
    <row r="4" customFormat="false" ht="15" hidden="false" customHeight="false" outlineLevel="0" collapsed="false">
      <c r="A4" s="8" t="s">
        <v>47</v>
      </c>
      <c r="B4" s="8" t="s">
        <v>71</v>
      </c>
      <c r="C4" s="8" t="s">
        <v>72</v>
      </c>
      <c r="D4" s="13" t="n">
        <v>46032</v>
      </c>
      <c r="E4" s="13"/>
      <c r="F4" s="8" t="s">
        <v>73</v>
      </c>
      <c r="H4" s="14" t="s">
        <v>59</v>
      </c>
    </row>
    <row r="5" customFormat="false" ht="15" hidden="false" customHeight="false" outlineLevel="0" collapsed="false">
      <c r="A5" s="8" t="s">
        <v>54</v>
      </c>
      <c r="B5" s="8" t="s">
        <v>74</v>
      </c>
      <c r="C5" s="8" t="s">
        <v>75</v>
      </c>
      <c r="D5" s="13" t="n">
        <v>46042</v>
      </c>
      <c r="E5" s="13"/>
      <c r="F5" s="8" t="s">
        <v>73</v>
      </c>
      <c r="H5" s="15" t="str">
        <f aca="false">IF($A4="","",$A4)</f>
        <v>Exchange-A</v>
      </c>
    </row>
    <row r="6" customFormat="false" ht="15" hidden="false" customHeight="false" outlineLevel="0" collapsed="false">
      <c r="A6" s="8" t="s">
        <v>76</v>
      </c>
      <c r="B6" s="8" t="s">
        <v>77</v>
      </c>
      <c r="C6" s="8" t="s">
        <v>75</v>
      </c>
      <c r="D6" s="13" t="n">
        <v>46068</v>
      </c>
      <c r="E6" s="13"/>
      <c r="F6" s="8" t="s">
        <v>73</v>
      </c>
      <c r="H6" s="15" t="str">
        <f aca="false">IF($A5="","",$A5)</f>
        <v>Wallet-Fría</v>
      </c>
    </row>
    <row r="7" customFormat="false" ht="15" hidden="false" customHeight="false" outlineLevel="0" collapsed="false">
      <c r="A7" s="16"/>
      <c r="B7" s="16"/>
      <c r="C7" s="16"/>
      <c r="D7" s="17"/>
      <c r="E7" s="17"/>
      <c r="F7" s="16"/>
      <c r="H7" s="15" t="str">
        <f aca="false">IF($A6="","",$A6)</f>
        <v>Canal-LN</v>
      </c>
    </row>
    <row r="8" customFormat="false" ht="15" hidden="false" customHeight="false" outlineLevel="0" collapsed="false">
      <c r="A8" s="16"/>
      <c r="B8" s="16"/>
      <c r="C8" s="16"/>
      <c r="D8" s="17"/>
      <c r="E8" s="17"/>
      <c r="F8" s="16"/>
      <c r="H8" s="15" t="str">
        <f aca="false">IF($A7="","",$A7)</f>
        <v/>
      </c>
    </row>
    <row r="9" customFormat="false" ht="15" hidden="false" customHeight="false" outlineLevel="0" collapsed="false">
      <c r="A9" s="16"/>
      <c r="B9" s="16"/>
      <c r="C9" s="16"/>
      <c r="D9" s="17"/>
      <c r="E9" s="17"/>
      <c r="F9" s="16"/>
      <c r="H9" s="15" t="str">
        <f aca="false">IF($A8="","",$A8)</f>
        <v/>
      </c>
    </row>
    <row r="10" customFormat="false" ht="15" hidden="false" customHeight="false" outlineLevel="0" collapsed="false">
      <c r="A10" s="16"/>
      <c r="B10" s="16"/>
      <c r="C10" s="16"/>
      <c r="D10" s="17"/>
      <c r="E10" s="17"/>
      <c r="F10" s="16"/>
      <c r="H10" s="15" t="str">
        <f aca="false">IF($A9="","",$A9)</f>
        <v/>
      </c>
    </row>
    <row r="11" customFormat="false" ht="15" hidden="false" customHeight="false" outlineLevel="0" collapsed="false">
      <c r="A11" s="16"/>
      <c r="B11" s="16"/>
      <c r="C11" s="16"/>
      <c r="D11" s="17"/>
      <c r="E11" s="17"/>
      <c r="F11" s="16"/>
      <c r="H11" s="15" t="str">
        <f aca="false">IF($A10="","",$A10)</f>
        <v/>
      </c>
    </row>
    <row r="12" customFormat="false" ht="15" hidden="false" customHeight="false" outlineLevel="0" collapsed="false">
      <c r="A12" s="16"/>
      <c r="B12" s="16"/>
      <c r="C12" s="16"/>
      <c r="D12" s="17"/>
      <c r="E12" s="17"/>
      <c r="F12" s="16"/>
      <c r="H12" s="15" t="str">
        <f aca="false">IF($A11="","",$A11)</f>
        <v/>
      </c>
    </row>
    <row r="13" customFormat="false" ht="15" hidden="false" customHeight="false" outlineLevel="0" collapsed="false">
      <c r="A13" s="16"/>
      <c r="B13" s="16"/>
      <c r="C13" s="16"/>
      <c r="D13" s="17"/>
      <c r="E13" s="17"/>
      <c r="F13" s="16"/>
      <c r="H13" s="15" t="str">
        <f aca="false">IF($A12="","",$A12)</f>
        <v/>
      </c>
    </row>
    <row r="14" customFormat="false" ht="15" hidden="false" customHeight="false" outlineLevel="0" collapsed="false">
      <c r="A14" s="16"/>
      <c r="B14" s="16"/>
      <c r="C14" s="16"/>
      <c r="D14" s="17"/>
      <c r="E14" s="17"/>
      <c r="F14" s="16"/>
      <c r="H14" s="15" t="str">
        <f aca="false">IF($A13="","",$A13)</f>
        <v/>
      </c>
    </row>
    <row r="15" customFormat="false" ht="15" hidden="false" customHeight="false" outlineLevel="0" collapsed="false">
      <c r="A15" s="16"/>
      <c r="B15" s="16"/>
      <c r="C15" s="16"/>
      <c r="D15" s="17"/>
      <c r="E15" s="17"/>
      <c r="F15" s="16"/>
      <c r="H15" s="15" t="str">
        <f aca="false">IF($A14="","",$A14)</f>
        <v/>
      </c>
    </row>
    <row r="16" customFormat="false" ht="15" hidden="false" customHeight="false" outlineLevel="0" collapsed="false">
      <c r="A16" s="16"/>
      <c r="B16" s="16"/>
      <c r="C16" s="16"/>
      <c r="D16" s="17"/>
      <c r="E16" s="17"/>
      <c r="F16" s="16"/>
      <c r="H16" s="15" t="str">
        <f aca="false">IF($A15="","",$A15)</f>
        <v/>
      </c>
    </row>
    <row r="17" customFormat="false" ht="15" hidden="false" customHeight="false" outlineLevel="0" collapsed="false">
      <c r="A17" s="16"/>
      <c r="B17" s="16"/>
      <c r="C17" s="16"/>
      <c r="D17" s="17"/>
      <c r="E17" s="17"/>
      <c r="F17" s="16"/>
      <c r="H17" s="15" t="str">
        <f aca="false">IF($A16="","",$A16)</f>
        <v/>
      </c>
    </row>
    <row r="18" customFormat="false" ht="15" hidden="false" customHeight="false" outlineLevel="0" collapsed="false">
      <c r="A18" s="16"/>
      <c r="B18" s="16"/>
      <c r="C18" s="16"/>
      <c r="D18" s="17"/>
      <c r="E18" s="17"/>
      <c r="F18" s="16"/>
      <c r="H18" s="15" t="str">
        <f aca="false">IF($A17="","",$A17)</f>
        <v/>
      </c>
    </row>
    <row r="19" customFormat="false" ht="15" hidden="false" customHeight="false" outlineLevel="0" collapsed="false">
      <c r="A19" s="16"/>
      <c r="B19" s="16"/>
      <c r="C19" s="16"/>
      <c r="D19" s="17"/>
      <c r="E19" s="17"/>
      <c r="F19" s="16"/>
      <c r="H19" s="15" t="str">
        <f aca="false">IF($A18="","",$A18)</f>
        <v/>
      </c>
    </row>
    <row r="20" customFormat="false" ht="15" hidden="false" customHeight="false" outlineLevel="0" collapsed="false">
      <c r="A20" s="16"/>
      <c r="B20" s="16"/>
      <c r="C20" s="16"/>
      <c r="D20" s="17"/>
      <c r="E20" s="17"/>
      <c r="F20" s="16"/>
      <c r="H20" s="15" t="str">
        <f aca="false">IF($A19="","",$A19)</f>
        <v/>
      </c>
    </row>
    <row r="21" customFormat="false" ht="15" hidden="false" customHeight="false" outlineLevel="0" collapsed="false">
      <c r="A21" s="16"/>
      <c r="B21" s="16"/>
      <c r="C21" s="16"/>
      <c r="D21" s="17"/>
      <c r="E21" s="17"/>
      <c r="F21" s="16"/>
      <c r="H21" s="15" t="str">
        <f aca="false">IF($A20="","",$A20)</f>
        <v/>
      </c>
    </row>
    <row r="22" customFormat="false" ht="15" hidden="false" customHeight="false" outlineLevel="0" collapsed="false">
      <c r="A22" s="16"/>
      <c r="B22" s="16"/>
      <c r="C22" s="16"/>
      <c r="D22" s="17"/>
      <c r="E22" s="17"/>
      <c r="F22" s="16"/>
      <c r="H22" s="15" t="str">
        <f aca="false">IF($A21="","",$A21)</f>
        <v/>
      </c>
    </row>
    <row r="23" customFormat="false" ht="15" hidden="false" customHeight="false" outlineLevel="0" collapsed="false">
      <c r="A23" s="16"/>
      <c r="B23" s="16"/>
      <c r="C23" s="16"/>
      <c r="D23" s="17"/>
      <c r="E23" s="17"/>
      <c r="F23" s="16"/>
      <c r="H23" s="15" t="str">
        <f aca="false">IF($A22="","",$A22)</f>
        <v/>
      </c>
    </row>
    <row r="24" customFormat="false" ht="15" hidden="false" customHeight="false" outlineLevel="0" collapsed="false">
      <c r="A24" s="16"/>
      <c r="B24" s="16"/>
      <c r="C24" s="16"/>
      <c r="D24" s="17"/>
      <c r="E24" s="17"/>
      <c r="F24" s="16"/>
      <c r="H24" s="15" t="str">
        <f aca="false">IF($A23="","",$A23)</f>
        <v/>
      </c>
    </row>
    <row r="25" customFormat="false" ht="15" hidden="false" customHeight="false" outlineLevel="0" collapsed="false">
      <c r="A25" s="16"/>
      <c r="B25" s="16"/>
      <c r="C25" s="16"/>
      <c r="D25" s="17"/>
      <c r="E25" s="17"/>
      <c r="F25" s="16"/>
      <c r="H25" s="15" t="str">
        <f aca="false">IF($A24="","",$A24)</f>
        <v/>
      </c>
    </row>
    <row r="26" customFormat="false" ht="15" hidden="false" customHeight="false" outlineLevel="0" collapsed="false">
      <c r="A26" s="16"/>
      <c r="B26" s="16"/>
      <c r="C26" s="16"/>
      <c r="D26" s="17"/>
      <c r="E26" s="17"/>
      <c r="F26" s="16"/>
      <c r="H26" s="15" t="str">
        <f aca="false">IF($A25="","",$A25)</f>
        <v/>
      </c>
    </row>
    <row r="27" customFormat="false" ht="15" hidden="false" customHeight="false" outlineLevel="0" collapsed="false">
      <c r="A27" s="16"/>
      <c r="B27" s="16"/>
      <c r="C27" s="16"/>
      <c r="D27" s="17"/>
      <c r="E27" s="17"/>
      <c r="F27" s="16"/>
      <c r="H27" s="15" t="str">
        <f aca="false">IF($A26="","",$A26)</f>
        <v/>
      </c>
    </row>
    <row r="28" customFormat="false" ht="15" hidden="false" customHeight="false" outlineLevel="0" collapsed="false">
      <c r="A28" s="16"/>
      <c r="B28" s="16"/>
      <c r="C28" s="16"/>
      <c r="D28" s="17"/>
      <c r="E28" s="17"/>
      <c r="F28" s="16"/>
      <c r="H28" s="15" t="str">
        <f aca="false">IF($A27="","",$A27)</f>
        <v/>
      </c>
    </row>
    <row r="29" customFormat="false" ht="15" hidden="false" customHeight="false" outlineLevel="0" collapsed="false">
      <c r="A29" s="16"/>
      <c r="B29" s="16"/>
      <c r="C29" s="16"/>
      <c r="D29" s="17"/>
      <c r="E29" s="17"/>
      <c r="F29" s="16"/>
      <c r="H29" s="15" t="str">
        <f aca="false">IF($A28="","",$A28)</f>
        <v/>
      </c>
    </row>
    <row r="30" customFormat="false" ht="15" hidden="false" customHeight="false" outlineLevel="0" collapsed="false">
      <c r="A30" s="16"/>
      <c r="B30" s="16"/>
      <c r="C30" s="16"/>
      <c r="D30" s="17"/>
      <c r="E30" s="17"/>
      <c r="F30" s="16"/>
      <c r="H30" s="15" t="str">
        <f aca="false">IF($A29="","",$A29)</f>
        <v/>
      </c>
    </row>
    <row r="31" customFormat="false" ht="15" hidden="false" customHeight="false" outlineLevel="0" collapsed="false">
      <c r="A31" s="16"/>
      <c r="B31" s="16"/>
      <c r="C31" s="16"/>
      <c r="D31" s="17"/>
      <c r="E31" s="17"/>
      <c r="F31" s="16"/>
      <c r="H31" s="15" t="str">
        <f aca="false">IF($A30="","",$A30)</f>
        <v/>
      </c>
    </row>
    <row r="32" customFormat="false" ht="15" hidden="false" customHeight="false" outlineLevel="0" collapsed="false">
      <c r="A32" s="16"/>
      <c r="B32" s="16"/>
      <c r="C32" s="16"/>
      <c r="D32" s="17"/>
      <c r="E32" s="17"/>
      <c r="F32" s="16"/>
      <c r="H32" s="15" t="str">
        <f aca="false">IF($A31="","",$A31)</f>
        <v/>
      </c>
    </row>
    <row r="33" customFormat="false" ht="15" hidden="false" customHeight="false" outlineLevel="0" collapsed="false">
      <c r="A33" s="16"/>
      <c r="B33" s="16"/>
      <c r="C33" s="16"/>
      <c r="D33" s="17"/>
      <c r="E33" s="17"/>
      <c r="F33" s="16"/>
      <c r="H33" s="15" t="str">
        <f aca="false">IF($A32="","",$A32)</f>
        <v/>
      </c>
    </row>
    <row r="34" customFormat="false" ht="15" hidden="false" customHeight="false" outlineLevel="0" collapsed="false">
      <c r="H34" s="15" t="str">
        <f aca="false">IF($A33="","",$A33)</f>
        <v/>
      </c>
    </row>
  </sheetData>
  <mergeCells count="1">
    <mergeCell ref="A1:F1"/>
  </mergeCells>
  <dataValidations count="2">
    <dataValidation allowBlank="true" errorStyle="stop" operator="between" showDropDown="false" showErrorMessage="true" showInputMessage="false" sqref="B4:B33" type="list">
      <formula1>"exchange,wallet,canal"</formula1>
      <formula2>0</formula2>
    </dataValidation>
    <dataValidation allowBlank="true" errorStyle="stop" operator="between" showDropDown="false" showErrorMessage="true" showInputMessage="false" sqref="C4:C33"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26"/>
    <col collapsed="false" customWidth="true" hidden="false" outlineLevel="0" max="3" min="3" style="0" width="22"/>
    <col collapsed="false" customWidth="true" hidden="false" outlineLevel="0" max="4" min="4" style="0" width="15"/>
    <col collapsed="false" customWidth="true" hidden="false" outlineLevel="0" max="5" min="5" style="0" width="18"/>
    <col collapsed="false" customWidth="true" hidden="false" outlineLevel="0" max="6" min="6" style="0" width="48"/>
    <col collapsed="false" customWidth="true" hidden="false" outlineLevel="0" max="7" min="7" style="0" width="46"/>
  </cols>
  <sheetData>
    <row r="1" customFormat="false" ht="24" hidden="false" customHeight="true" outlineLevel="0" collapsed="false">
      <c r="A1" s="1" t="s">
        <v>78</v>
      </c>
      <c r="B1" s="1"/>
      <c r="C1" s="1"/>
      <c r="D1" s="1"/>
      <c r="E1" s="1"/>
      <c r="F1" s="1"/>
      <c r="G1" s="1"/>
    </row>
    <row r="3" customFormat="false" ht="15" hidden="false" customHeight="false" outlineLevel="0" collapsed="false">
      <c r="A3" s="2" t="s">
        <v>79</v>
      </c>
    </row>
    <row r="4" customFormat="false" ht="23.85" hidden="false" customHeight="false" outlineLevel="0" collapsed="false">
      <c r="A4" s="12" t="s">
        <v>34</v>
      </c>
      <c r="B4" s="12" t="s">
        <v>80</v>
      </c>
      <c r="C4" s="12" t="s">
        <v>81</v>
      </c>
      <c r="D4" s="12" t="s">
        <v>82</v>
      </c>
      <c r="E4" s="12" t="s">
        <v>83</v>
      </c>
      <c r="F4" s="12" t="s">
        <v>84</v>
      </c>
      <c r="G4" s="12" t="s">
        <v>85</v>
      </c>
    </row>
    <row r="5" customFormat="false" ht="15" hidden="false" customHeight="false" outlineLevel="0" collapsed="false">
      <c r="A5" s="18" t="s">
        <v>46</v>
      </c>
      <c r="B5" s="19" t="s">
        <v>86</v>
      </c>
      <c r="C5" s="19" t="s">
        <v>87</v>
      </c>
      <c r="D5" s="19" t="s">
        <v>86</v>
      </c>
      <c r="E5" s="19" t="s">
        <v>88</v>
      </c>
      <c r="F5" s="19" t="s">
        <v>89</v>
      </c>
      <c r="G5" s="19" t="s">
        <v>90</v>
      </c>
    </row>
    <row r="6" customFormat="false" ht="15" hidden="false" customHeight="false" outlineLevel="0" collapsed="false">
      <c r="A6" s="18" t="s">
        <v>91</v>
      </c>
      <c r="B6" s="19" t="s">
        <v>86</v>
      </c>
      <c r="C6" s="19" t="s">
        <v>86</v>
      </c>
      <c r="D6" s="19" t="s">
        <v>88</v>
      </c>
      <c r="E6" s="19" t="s">
        <v>86</v>
      </c>
      <c r="F6" s="19" t="s">
        <v>92</v>
      </c>
      <c r="G6" s="19" t="s">
        <v>93</v>
      </c>
    </row>
    <row r="7" customFormat="false" ht="23.85" hidden="false" customHeight="false" outlineLevel="0" collapsed="false">
      <c r="A7" s="18" t="s">
        <v>94</v>
      </c>
      <c r="B7" s="19" t="s">
        <v>86</v>
      </c>
      <c r="C7" s="19" t="s">
        <v>86</v>
      </c>
      <c r="D7" s="19" t="s">
        <v>86</v>
      </c>
      <c r="E7" s="19" t="s">
        <v>86</v>
      </c>
      <c r="F7" s="19" t="s">
        <v>95</v>
      </c>
      <c r="G7" s="19" t="s">
        <v>96</v>
      </c>
    </row>
    <row r="8" customFormat="false" ht="23.85" hidden="false" customHeight="false" outlineLevel="0" collapsed="false">
      <c r="A8" s="18" t="s">
        <v>53</v>
      </c>
      <c r="B8" s="19" t="s">
        <v>97</v>
      </c>
      <c r="C8" s="19" t="s">
        <v>88</v>
      </c>
      <c r="D8" s="19" t="s">
        <v>88</v>
      </c>
      <c r="E8" s="19" t="s">
        <v>88</v>
      </c>
      <c r="F8" s="19" t="s">
        <v>98</v>
      </c>
      <c r="G8" s="19" t="s">
        <v>99</v>
      </c>
    </row>
    <row r="9" customFormat="false" ht="23.85" hidden="false" customHeight="false" outlineLevel="0" collapsed="false">
      <c r="A9" s="18" t="s">
        <v>58</v>
      </c>
      <c r="B9" s="19" t="s">
        <v>100</v>
      </c>
      <c r="C9" s="19" t="s">
        <v>101</v>
      </c>
      <c r="D9" s="19" t="s">
        <v>86</v>
      </c>
      <c r="E9" s="19" t="s">
        <v>88</v>
      </c>
      <c r="F9" s="19" t="s">
        <v>102</v>
      </c>
      <c r="G9" s="19" t="s">
        <v>103</v>
      </c>
    </row>
    <row r="10" customFormat="false" ht="23.85" hidden="false" customHeight="false" outlineLevel="0" collapsed="false">
      <c r="A10" s="18" t="s">
        <v>104</v>
      </c>
      <c r="B10" s="19" t="s">
        <v>100</v>
      </c>
      <c r="C10" s="19" t="s">
        <v>101</v>
      </c>
      <c r="D10" s="19" t="s">
        <v>86</v>
      </c>
      <c r="E10" s="19" t="s">
        <v>88</v>
      </c>
      <c r="F10" s="19" t="s">
        <v>105</v>
      </c>
      <c r="G10" s="19" t="s">
        <v>106</v>
      </c>
    </row>
    <row r="11" customFormat="false" ht="23.85" hidden="false" customHeight="false" outlineLevel="0" collapsed="false">
      <c r="A11" s="18" t="s">
        <v>107</v>
      </c>
      <c r="B11" s="19" t="s">
        <v>100</v>
      </c>
      <c r="C11" s="19" t="s">
        <v>101</v>
      </c>
      <c r="D11" s="19" t="s">
        <v>86</v>
      </c>
      <c r="E11" s="19" t="s">
        <v>88</v>
      </c>
      <c r="F11" s="19" t="s">
        <v>108</v>
      </c>
      <c r="G11" s="19" t="s">
        <v>109</v>
      </c>
    </row>
    <row r="12" customFormat="false" ht="23.85" hidden="false" customHeight="false" outlineLevel="0" collapsed="false">
      <c r="A12" s="18" t="s">
        <v>110</v>
      </c>
      <c r="B12" s="19" t="s">
        <v>111</v>
      </c>
      <c r="C12" s="19" t="s">
        <v>86</v>
      </c>
      <c r="D12" s="19" t="s">
        <v>88</v>
      </c>
      <c r="E12" s="19" t="s">
        <v>86</v>
      </c>
      <c r="F12" s="19" t="s">
        <v>112</v>
      </c>
      <c r="G12" s="19" t="s">
        <v>113</v>
      </c>
    </row>
    <row r="13" customFormat="false" ht="23.85" hidden="false" customHeight="false" outlineLevel="0" collapsed="false">
      <c r="A13" s="18" t="s">
        <v>114</v>
      </c>
      <c r="B13" s="19" t="s">
        <v>115</v>
      </c>
      <c r="C13" s="19" t="s">
        <v>86</v>
      </c>
      <c r="D13" s="19" t="s">
        <v>88</v>
      </c>
      <c r="E13" s="19" t="s">
        <v>86</v>
      </c>
      <c r="F13" s="19" t="s">
        <v>116</v>
      </c>
      <c r="G13" s="19" t="s">
        <v>117</v>
      </c>
    </row>
    <row r="14" customFormat="false" ht="23.85" hidden="false" customHeight="false" outlineLevel="0" collapsed="false">
      <c r="A14" s="18" t="s">
        <v>118</v>
      </c>
      <c r="B14" s="19" t="s">
        <v>119</v>
      </c>
      <c r="C14" s="19" t="s">
        <v>86</v>
      </c>
      <c r="D14" s="19" t="s">
        <v>120</v>
      </c>
      <c r="E14" s="19" t="s">
        <v>121</v>
      </c>
      <c r="F14" s="19" t="s">
        <v>122</v>
      </c>
      <c r="G14" s="19" t="s">
        <v>123</v>
      </c>
    </row>
    <row r="15" customFormat="false" ht="23.85" hidden="false" customHeight="false" outlineLevel="0" collapsed="false">
      <c r="A15" s="18" t="s">
        <v>124</v>
      </c>
      <c r="B15" s="19" t="s">
        <v>125</v>
      </c>
      <c r="C15" s="19" t="s">
        <v>125</v>
      </c>
      <c r="D15" s="19" t="s">
        <v>125</v>
      </c>
      <c r="E15" s="19" t="s">
        <v>125</v>
      </c>
      <c r="F15" s="19" t="s">
        <v>126</v>
      </c>
      <c r="G15" s="19" t="s">
        <v>127</v>
      </c>
    </row>
    <row r="16" customFormat="false" ht="15" hidden="false" customHeight="false" outlineLevel="0" collapsed="false">
      <c r="A16" s="11" t="s">
        <v>128</v>
      </c>
    </row>
    <row r="18" customFormat="false" ht="15" hidden="false" customHeight="false" outlineLevel="0" collapsed="false">
      <c r="A18" s="2" t="s">
        <v>129</v>
      </c>
    </row>
    <row r="19" customFormat="false" ht="15" hidden="false" customHeight="false" outlineLevel="0" collapsed="false">
      <c r="A19" s="12" t="s">
        <v>43</v>
      </c>
    </row>
    <row r="20" customFormat="false" ht="15" hidden="false" customHeight="false" outlineLevel="0" collapsed="false">
      <c r="A20" s="8" t="s">
        <v>49</v>
      </c>
    </row>
    <row r="21" customFormat="false" ht="15" hidden="false" customHeight="false" outlineLevel="0" collapsed="false">
      <c r="A21" s="8" t="s">
        <v>48</v>
      </c>
    </row>
    <row r="22" customFormat="false" ht="15" hidden="false" customHeight="false" outlineLevel="0" collapsed="false">
      <c r="A22" s="8"/>
    </row>
    <row r="23" customFormat="false" ht="15" hidden="false" customHeight="false" outlineLevel="0" collapsed="false">
      <c r="A23" s="8"/>
    </row>
    <row r="24" customFormat="false" ht="15" hidden="false" customHeight="false" outlineLevel="0" collapsed="false">
      <c r="A24" s="8"/>
    </row>
    <row r="26" customFormat="false" ht="15" hidden="false" customHeight="false" outlineLevel="0" collapsed="false">
      <c r="A26" s="2" t="s">
        <v>130</v>
      </c>
    </row>
    <row r="27" customFormat="false" ht="24" hidden="false" customHeight="true" outlineLevel="0" collapsed="false">
      <c r="A27" s="20" t="s">
        <v>131</v>
      </c>
      <c r="B27" s="21" t="s">
        <v>132</v>
      </c>
      <c r="C27" s="21"/>
      <c r="D27" s="21"/>
      <c r="E27" s="21"/>
      <c r="F27" s="21"/>
      <c r="G27" s="21"/>
    </row>
    <row r="28" customFormat="false" ht="24" hidden="false" customHeight="true" outlineLevel="0" collapsed="false">
      <c r="A28" s="20" t="s">
        <v>133</v>
      </c>
      <c r="B28" s="21" t="s">
        <v>134</v>
      </c>
      <c r="C28" s="21"/>
      <c r="D28" s="21"/>
      <c r="E28" s="21"/>
      <c r="F28" s="21"/>
      <c r="G28" s="21"/>
    </row>
    <row r="29" customFormat="false" ht="24" hidden="false" customHeight="true" outlineLevel="0" collapsed="false">
      <c r="A29" s="20" t="s">
        <v>135</v>
      </c>
      <c r="B29" s="21" t="s">
        <v>136</v>
      </c>
      <c r="C29" s="21"/>
      <c r="D29" s="21"/>
      <c r="E29" s="21"/>
      <c r="F29" s="21"/>
      <c r="G29" s="21"/>
    </row>
    <row r="30" customFormat="false" ht="24" hidden="false" customHeight="true" outlineLevel="0" collapsed="false">
      <c r="A30" s="20" t="s">
        <v>137</v>
      </c>
      <c r="B30" s="21" t="s">
        <v>138</v>
      </c>
      <c r="C30" s="21"/>
      <c r="D30" s="21"/>
      <c r="E30" s="21"/>
      <c r="F30" s="21"/>
      <c r="G30" s="21"/>
    </row>
    <row r="31" customFormat="false" ht="24" hidden="false" customHeight="true" outlineLevel="0" collapsed="false">
      <c r="A31" s="20" t="s">
        <v>139</v>
      </c>
      <c r="B31" s="21" t="s">
        <v>140</v>
      </c>
      <c r="C31" s="21"/>
      <c r="D31" s="21"/>
      <c r="E31" s="21"/>
      <c r="F31" s="21"/>
      <c r="G31" s="21"/>
    </row>
    <row r="32" customFormat="false" ht="15" hidden="false" customHeight="false" outlineLevel="0" collapsed="false">
      <c r="A32" s="20" t="s">
        <v>141</v>
      </c>
      <c r="B32" s="22" t="n">
        <v>1E-008</v>
      </c>
    </row>
    <row r="33" customFormat="false" ht="15" hidden="false" customHeight="false" outlineLevel="0" collapsed="false">
      <c r="A33" s="20" t="s">
        <v>142</v>
      </c>
      <c r="B33" s="22" t="n">
        <v>0.001</v>
      </c>
    </row>
  </sheetData>
  <mergeCells count="6">
    <mergeCell ref="A1:G1"/>
    <mergeCell ref="B27:G27"/>
    <mergeCell ref="B28:G28"/>
    <mergeCell ref="B29:G29"/>
    <mergeCell ref="B30:G30"/>
    <mergeCell ref="B31:G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F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0"/>
    <col collapsed="false" customWidth="true" hidden="false" outlineLevel="0" max="5" min="3" style="0" width="16"/>
    <col collapsed="false" customWidth="true" hidden="false" outlineLevel="0" max="6" min="6" style="0" width="18"/>
  </cols>
  <sheetData>
    <row r="1" customFormat="false" ht="24" hidden="false" customHeight="true" outlineLevel="0" collapsed="false">
      <c r="A1" s="1" t="s">
        <v>143</v>
      </c>
      <c r="B1" s="1"/>
      <c r="C1" s="1"/>
      <c r="D1" s="1"/>
      <c r="E1" s="1"/>
      <c r="F1" s="1"/>
    </row>
    <row r="2" customFormat="false" ht="15" hidden="false" customHeight="false" outlineLevel="0" collapsed="false">
      <c r="A2" s="20" t="s">
        <v>144</v>
      </c>
      <c r="B2" s="23" t="n">
        <v>46387</v>
      </c>
      <c r="C2" s="11" t="s">
        <v>145</v>
      </c>
    </row>
    <row r="3" customFormat="false" ht="15" hidden="false" customHeight="false" outlineLevel="0" collapsed="false">
      <c r="A3" s="11" t="s">
        <v>146</v>
      </c>
    </row>
    <row r="4" customFormat="false" ht="15" hidden="false" customHeight="false" outlineLevel="0" collapsed="false">
      <c r="A4" s="12" t="s">
        <v>147</v>
      </c>
      <c r="B4" s="12" t="s">
        <v>43</v>
      </c>
      <c r="C4" s="12" t="s">
        <v>148</v>
      </c>
      <c r="D4" s="12" t="s">
        <v>149</v>
      </c>
      <c r="E4" s="12" t="s">
        <v>135</v>
      </c>
      <c r="F4" s="12" t="s">
        <v>150</v>
      </c>
    </row>
    <row r="5" customFormat="false" ht="15" hidden="false" customHeight="false" outlineLevel="0" collapsed="false">
      <c r="A5" s="24" t="str">
        <f aca="false">IF(OR(T(INDEX(UBICACIONES!$A$4:$A$13,INT((ROW()-5)/5)+1))="",T(INDEX(PARÁMETROS!$A$20:$A$24,MOD(ROW()-5,5)+1))=""),"",T(INDEX(UBICACIONES!$A$4:$A$13,INT((ROW()-5)/5)+1)))</f>
        <v>Exchange-A</v>
      </c>
      <c r="B5" s="24" t="str">
        <f aca="false">IF(OR(T(INDEX(UBICACIONES!$A$4:$A$13,INT((ROW()-5)/5)+1))="",T(INDEX(PARÁMETROS!$A$20:$A$24,MOD(ROW()-5,5)+1))=""),"",T(INDEX(PARÁMETROS!$A$20:$A$24,MOD(ROW()-5,5)+1)))</f>
        <v>BTC</v>
      </c>
      <c r="C5" s="25" t="n">
        <f aca="false">IF($A5="","",SUMIFS(DIARIO!$I$3:$I$102,DIARIO!$E$3:$E$102,$A5,DIARIO!$H$3:$H$102,$B5,DIARIO!$B$3:$B$102,"&lt;"&amp;($B$2+1)))</f>
        <v>0.55</v>
      </c>
      <c r="D5" s="25" t="n">
        <f aca="false">IF($A5="","",SUMIFS(DIARIO!$G$3:$G$102,DIARIO!$D$3:$D$102,$A5,DIARIO!$F$3:$F$102,$B5,DIARIO!$B$3:$B$102,"&lt;"&amp;($B$2+1)))</f>
        <v>0.3</v>
      </c>
      <c r="E5" s="25" t="n">
        <f aca="false">IF($A5="","",SUMIFS(DIARIO!$J$3:$J$102,DIARIO!$D$3:$D$102,$A5,DIARIO!$K$3:$K$102,$B5,DIARIO!$B$3:$B$102,"&lt;"&amp;($B$2+1))+SUMIFS(DIARIO!$J$3:$J$102,DIARIO!$D$3:$D$102,"EXTERIOR",DIARIO!$E$3:$E$102,$A5,DIARIO!$K$3:$K$102,$B5,DIARIO!$B$3:$B$102,"&lt;"&amp;($B$2+1)))</f>
        <v>0.0002</v>
      </c>
      <c r="F5" s="25" t="n">
        <f aca="false">IF($A5="","",C5-D5-E5)</f>
        <v>0.2498</v>
      </c>
    </row>
    <row r="6" customFormat="false" ht="15" hidden="false" customHeight="false" outlineLevel="0" collapsed="false">
      <c r="A6" s="24" t="str">
        <f aca="false">IF(OR(T(INDEX(UBICACIONES!$A$4:$A$13,INT((ROW()-5)/5)+1))="",T(INDEX(PARÁMETROS!$A$20:$A$24,MOD(ROW()-5,5)+1))=""),"",T(INDEX(UBICACIONES!$A$4:$A$13,INT((ROW()-5)/5)+1)))</f>
        <v>Exchange-A</v>
      </c>
      <c r="B6" s="24" t="str">
        <f aca="false">IF(OR(T(INDEX(UBICACIONES!$A$4:$A$13,INT((ROW()-5)/5)+1))="",T(INDEX(PARÁMETROS!$A$20:$A$24,MOD(ROW()-5,5)+1))=""),"",T(INDEX(PARÁMETROS!$A$20:$A$24,MOD(ROW()-5,5)+1)))</f>
        <v>EUR</v>
      </c>
      <c r="C6" s="25" t="n">
        <f aca="false">IF($A6="","",SUMIFS(DIARIO!$I$3:$I$102,DIARIO!$E$3:$E$102,$A6,DIARIO!$H$3:$H$102,$B6,DIARIO!$B$3:$B$102,"&lt;"&amp;($B$2+1)))</f>
        <v>0</v>
      </c>
      <c r="D6" s="25" t="n">
        <f aca="false">IF($A6="","",SUMIFS(DIARIO!$G$3:$G$102,DIARIO!$D$3:$D$102,$A6,DIARIO!$F$3:$F$102,$B6,DIARIO!$B$3:$B$102,"&lt;"&amp;($B$2+1)))</f>
        <v>20000</v>
      </c>
      <c r="E6" s="25" t="n">
        <f aca="false">IF($A6="","",SUMIFS(DIARIO!$J$3:$J$102,DIARIO!$D$3:$D$102,$A6,DIARIO!$K$3:$K$102,$B6,DIARIO!$B$3:$B$102,"&lt;"&amp;($B$2+1))+SUMIFS(DIARIO!$J$3:$J$102,DIARIO!$D$3:$D$102,"EXTERIOR",DIARIO!$E$3:$E$102,$A6,DIARIO!$K$3:$K$102,$B6,DIARIO!$B$3:$B$102,"&lt;"&amp;($B$2+1)))</f>
        <v>30</v>
      </c>
      <c r="F6" s="25" t="n">
        <f aca="false">IF($A6="","",C6-D6-E6)</f>
        <v>-20030</v>
      </c>
    </row>
    <row r="7" customFormat="false" ht="15" hidden="false" customHeight="false" outlineLevel="0" collapsed="false">
      <c r="A7" s="24" t="str">
        <f aca="false">IF(OR(T(INDEX(UBICACIONES!$A$4:$A$13,INT((ROW()-5)/5)+1))="",T(INDEX(PARÁMETROS!$A$20:$A$24,MOD(ROW()-5,5)+1))=""),"",T(INDEX(UBICACIONES!$A$4:$A$13,INT((ROW()-5)/5)+1)))</f>
        <v/>
      </c>
      <c r="B7" s="24" t="str">
        <f aca="false">IF(OR(T(INDEX(UBICACIONES!$A$4:$A$13,INT((ROW()-5)/5)+1))="",T(INDEX(PARÁMETROS!$A$20:$A$24,MOD(ROW()-5,5)+1))=""),"",T(INDEX(PARÁMETROS!$A$20:$A$24,MOD(ROW()-5,5)+1)))</f>
        <v/>
      </c>
      <c r="C7" s="25" t="str">
        <f aca="false">IF($A7="","",SUMIFS(DIARIO!$I$3:$I$102,DIARIO!$E$3:$E$102,$A7,DIARIO!$H$3:$H$102,$B7,DIARIO!$B$3:$B$102,"&lt;"&amp;($B$2+1)))</f>
        <v/>
      </c>
      <c r="D7" s="25" t="str">
        <f aca="false">IF($A7="","",SUMIFS(DIARIO!$G$3:$G$102,DIARIO!$D$3:$D$102,$A7,DIARIO!$F$3:$F$102,$B7,DIARIO!$B$3:$B$102,"&lt;"&amp;($B$2+1)))</f>
        <v/>
      </c>
      <c r="E7" s="25" t="str">
        <f aca="false">IF($A7="","",SUMIFS(DIARIO!$J$3:$J$102,DIARIO!$D$3:$D$102,$A7,DIARIO!$K$3:$K$102,$B7,DIARIO!$B$3:$B$102,"&lt;"&amp;($B$2+1))+SUMIFS(DIARIO!$J$3:$J$102,DIARIO!$D$3:$D$102,"EXTERIOR",DIARIO!$E$3:$E$102,$A7,DIARIO!$K$3:$K$102,$B7,DIARIO!$B$3:$B$102,"&lt;"&amp;($B$2+1)))</f>
        <v/>
      </c>
      <c r="F7" s="25" t="str">
        <f aca="false">IF($A7="","",C7-D7-E7)</f>
        <v/>
      </c>
    </row>
    <row r="8" customFormat="false" ht="15" hidden="false" customHeight="false" outlineLevel="0" collapsed="false">
      <c r="A8" s="24" t="str">
        <f aca="false">IF(OR(T(INDEX(UBICACIONES!$A$4:$A$13,INT((ROW()-5)/5)+1))="",T(INDEX(PARÁMETROS!$A$20:$A$24,MOD(ROW()-5,5)+1))=""),"",T(INDEX(UBICACIONES!$A$4:$A$13,INT((ROW()-5)/5)+1)))</f>
        <v/>
      </c>
      <c r="B8" s="24" t="str">
        <f aca="false">IF(OR(T(INDEX(UBICACIONES!$A$4:$A$13,INT((ROW()-5)/5)+1))="",T(INDEX(PARÁMETROS!$A$20:$A$24,MOD(ROW()-5,5)+1))=""),"",T(INDEX(PARÁMETROS!$A$20:$A$24,MOD(ROW()-5,5)+1)))</f>
        <v/>
      </c>
      <c r="C8" s="25" t="str">
        <f aca="false">IF($A8="","",SUMIFS(DIARIO!$I$3:$I$102,DIARIO!$E$3:$E$102,$A8,DIARIO!$H$3:$H$102,$B8,DIARIO!$B$3:$B$102,"&lt;"&amp;($B$2+1)))</f>
        <v/>
      </c>
      <c r="D8" s="25" t="str">
        <f aca="false">IF($A8="","",SUMIFS(DIARIO!$G$3:$G$102,DIARIO!$D$3:$D$102,$A8,DIARIO!$F$3:$F$102,$B8,DIARIO!$B$3:$B$102,"&lt;"&amp;($B$2+1)))</f>
        <v/>
      </c>
      <c r="E8" s="25" t="str">
        <f aca="false">IF($A8="","",SUMIFS(DIARIO!$J$3:$J$102,DIARIO!$D$3:$D$102,$A8,DIARIO!$K$3:$K$102,$B8,DIARIO!$B$3:$B$102,"&lt;"&amp;($B$2+1))+SUMIFS(DIARIO!$J$3:$J$102,DIARIO!$D$3:$D$102,"EXTERIOR",DIARIO!$E$3:$E$102,$A8,DIARIO!$K$3:$K$102,$B8,DIARIO!$B$3:$B$102,"&lt;"&amp;($B$2+1)))</f>
        <v/>
      </c>
      <c r="F8" s="25" t="str">
        <f aca="false">IF($A8="","",C8-D8-E8)</f>
        <v/>
      </c>
    </row>
    <row r="9" customFormat="false" ht="15" hidden="false" customHeight="false" outlineLevel="0" collapsed="false">
      <c r="A9" s="24" t="str">
        <f aca="false">IF(OR(T(INDEX(UBICACIONES!$A$4:$A$13,INT((ROW()-5)/5)+1))="",T(INDEX(PARÁMETROS!$A$20:$A$24,MOD(ROW()-5,5)+1))=""),"",T(INDEX(UBICACIONES!$A$4:$A$13,INT((ROW()-5)/5)+1)))</f>
        <v/>
      </c>
      <c r="B9" s="24" t="str">
        <f aca="false">IF(OR(T(INDEX(UBICACIONES!$A$4:$A$13,INT((ROW()-5)/5)+1))="",T(INDEX(PARÁMETROS!$A$20:$A$24,MOD(ROW()-5,5)+1))=""),"",T(INDEX(PARÁMETROS!$A$20:$A$24,MOD(ROW()-5,5)+1)))</f>
        <v/>
      </c>
      <c r="C9" s="25" t="str">
        <f aca="false">IF($A9="","",SUMIFS(DIARIO!$I$3:$I$102,DIARIO!$E$3:$E$102,$A9,DIARIO!$H$3:$H$102,$B9,DIARIO!$B$3:$B$102,"&lt;"&amp;($B$2+1)))</f>
        <v/>
      </c>
      <c r="D9" s="25" t="str">
        <f aca="false">IF($A9="","",SUMIFS(DIARIO!$G$3:$G$102,DIARIO!$D$3:$D$102,$A9,DIARIO!$F$3:$F$102,$B9,DIARIO!$B$3:$B$102,"&lt;"&amp;($B$2+1)))</f>
        <v/>
      </c>
      <c r="E9" s="25" t="str">
        <f aca="false">IF($A9="","",SUMIFS(DIARIO!$J$3:$J$102,DIARIO!$D$3:$D$102,$A9,DIARIO!$K$3:$K$102,$B9,DIARIO!$B$3:$B$102,"&lt;"&amp;($B$2+1))+SUMIFS(DIARIO!$J$3:$J$102,DIARIO!$D$3:$D$102,"EXTERIOR",DIARIO!$E$3:$E$102,$A9,DIARIO!$K$3:$K$102,$B9,DIARIO!$B$3:$B$102,"&lt;"&amp;($B$2+1)))</f>
        <v/>
      </c>
      <c r="F9" s="25" t="str">
        <f aca="false">IF($A9="","",C9-D9-E9)</f>
        <v/>
      </c>
    </row>
    <row r="10" customFormat="false" ht="15" hidden="false" customHeight="false" outlineLevel="0" collapsed="false">
      <c r="A10" s="24" t="str">
        <f aca="false">IF(OR(T(INDEX(UBICACIONES!$A$4:$A$13,INT((ROW()-5)/5)+1))="",T(INDEX(PARÁMETROS!$A$20:$A$24,MOD(ROW()-5,5)+1))=""),"",T(INDEX(UBICACIONES!$A$4:$A$13,INT((ROW()-5)/5)+1)))</f>
        <v>Wallet-Fría</v>
      </c>
      <c r="B10" s="24" t="str">
        <f aca="false">IF(OR(T(INDEX(UBICACIONES!$A$4:$A$13,INT((ROW()-5)/5)+1))="",T(INDEX(PARÁMETROS!$A$20:$A$24,MOD(ROW()-5,5)+1))=""),"",T(INDEX(PARÁMETROS!$A$20:$A$24,MOD(ROW()-5,5)+1)))</f>
        <v>BTC</v>
      </c>
      <c r="C10" s="25" t="n">
        <f aca="false">IF($A10="","",SUMIFS(DIARIO!$I$3:$I$102,DIARIO!$E$3:$E$102,$A10,DIARIO!$H$3:$H$102,$B10,DIARIO!$B$3:$B$102,"&lt;"&amp;($B$2+1)))</f>
        <v>0.3</v>
      </c>
      <c r="D10" s="25" t="n">
        <f aca="false">IF($A10="","",SUMIFS(DIARIO!$G$3:$G$102,DIARIO!$D$3:$D$102,$A10,DIARIO!$F$3:$F$102,$B10,DIARIO!$B$3:$B$102,"&lt;"&amp;($B$2+1)))</f>
        <v>0</v>
      </c>
      <c r="E10" s="25" t="n">
        <f aca="false">IF($A10="","",SUMIFS(DIARIO!$J$3:$J$102,DIARIO!$D$3:$D$102,$A10,DIARIO!$K$3:$K$102,$B10,DIARIO!$B$3:$B$102,"&lt;"&amp;($B$2+1))+SUMIFS(DIARIO!$J$3:$J$102,DIARIO!$D$3:$D$102,"EXTERIOR",DIARIO!$E$3:$E$102,$A10,DIARIO!$K$3:$K$102,$B10,DIARIO!$B$3:$B$102,"&lt;"&amp;($B$2+1)))</f>
        <v>0</v>
      </c>
      <c r="F10" s="25" t="n">
        <f aca="false">IF($A10="","",C10-D10-E10)</f>
        <v>0.3</v>
      </c>
    </row>
    <row r="11" customFormat="false" ht="15" hidden="false" customHeight="false" outlineLevel="0" collapsed="false">
      <c r="A11" s="24" t="str">
        <f aca="false">IF(OR(T(INDEX(UBICACIONES!$A$4:$A$13,INT((ROW()-5)/5)+1))="",T(INDEX(PARÁMETROS!$A$20:$A$24,MOD(ROW()-5,5)+1))=""),"",T(INDEX(UBICACIONES!$A$4:$A$13,INT((ROW()-5)/5)+1)))</f>
        <v>Wallet-Fría</v>
      </c>
      <c r="B11" s="24" t="str">
        <f aca="false">IF(OR(T(INDEX(UBICACIONES!$A$4:$A$13,INT((ROW()-5)/5)+1))="",T(INDEX(PARÁMETROS!$A$20:$A$24,MOD(ROW()-5,5)+1))=""),"",T(INDEX(PARÁMETROS!$A$20:$A$24,MOD(ROW()-5,5)+1)))</f>
        <v>EUR</v>
      </c>
      <c r="C11" s="25" t="n">
        <f aca="false">IF($A11="","",SUMIFS(DIARIO!$I$3:$I$102,DIARIO!$E$3:$E$102,$A11,DIARIO!$H$3:$H$102,$B11,DIARIO!$B$3:$B$102,"&lt;"&amp;($B$2+1)))</f>
        <v>0</v>
      </c>
      <c r="D11" s="25" t="n">
        <f aca="false">IF($A11="","",SUMIFS(DIARIO!$G$3:$G$102,DIARIO!$D$3:$D$102,$A11,DIARIO!$F$3:$F$102,$B11,DIARIO!$B$3:$B$102,"&lt;"&amp;($B$2+1)))</f>
        <v>0</v>
      </c>
      <c r="E11" s="25" t="n">
        <f aca="false">IF($A11="","",SUMIFS(DIARIO!$J$3:$J$102,DIARIO!$D$3:$D$102,$A11,DIARIO!$K$3:$K$102,$B11,DIARIO!$B$3:$B$102,"&lt;"&amp;($B$2+1))+SUMIFS(DIARIO!$J$3:$J$102,DIARIO!$D$3:$D$102,"EXTERIOR",DIARIO!$E$3:$E$102,$A11,DIARIO!$K$3:$K$102,$B11,DIARIO!$B$3:$B$102,"&lt;"&amp;($B$2+1)))</f>
        <v>0</v>
      </c>
      <c r="F11" s="25" t="n">
        <f aca="false">IF($A11="","",C11-D11-E11)</f>
        <v>0</v>
      </c>
    </row>
    <row r="12" customFormat="false" ht="15" hidden="false" customHeight="false" outlineLevel="0" collapsed="false">
      <c r="A12" s="24" t="str">
        <f aca="false">IF(OR(T(INDEX(UBICACIONES!$A$4:$A$13,INT((ROW()-5)/5)+1))="",T(INDEX(PARÁMETROS!$A$20:$A$24,MOD(ROW()-5,5)+1))=""),"",T(INDEX(UBICACIONES!$A$4:$A$13,INT((ROW()-5)/5)+1)))</f>
        <v/>
      </c>
      <c r="B12" s="24" t="str">
        <f aca="false">IF(OR(T(INDEX(UBICACIONES!$A$4:$A$13,INT((ROW()-5)/5)+1))="",T(INDEX(PARÁMETROS!$A$20:$A$24,MOD(ROW()-5,5)+1))=""),"",T(INDEX(PARÁMETROS!$A$20:$A$24,MOD(ROW()-5,5)+1)))</f>
        <v/>
      </c>
      <c r="C12" s="25" t="str">
        <f aca="false">IF($A12="","",SUMIFS(DIARIO!$I$3:$I$102,DIARIO!$E$3:$E$102,$A12,DIARIO!$H$3:$H$102,$B12,DIARIO!$B$3:$B$102,"&lt;"&amp;($B$2+1)))</f>
        <v/>
      </c>
      <c r="D12" s="25" t="str">
        <f aca="false">IF($A12="","",SUMIFS(DIARIO!$G$3:$G$102,DIARIO!$D$3:$D$102,$A12,DIARIO!$F$3:$F$102,$B12,DIARIO!$B$3:$B$102,"&lt;"&amp;($B$2+1)))</f>
        <v/>
      </c>
      <c r="E12" s="25" t="str">
        <f aca="false">IF($A12="","",SUMIFS(DIARIO!$J$3:$J$102,DIARIO!$D$3:$D$102,$A12,DIARIO!$K$3:$K$102,$B12,DIARIO!$B$3:$B$102,"&lt;"&amp;($B$2+1))+SUMIFS(DIARIO!$J$3:$J$102,DIARIO!$D$3:$D$102,"EXTERIOR",DIARIO!$E$3:$E$102,$A12,DIARIO!$K$3:$K$102,$B12,DIARIO!$B$3:$B$102,"&lt;"&amp;($B$2+1)))</f>
        <v/>
      </c>
      <c r="F12" s="25" t="str">
        <f aca="false">IF($A12="","",C12-D12-E12)</f>
        <v/>
      </c>
    </row>
    <row r="13" customFormat="false" ht="15" hidden="false" customHeight="false" outlineLevel="0" collapsed="false">
      <c r="A13" s="24" t="str">
        <f aca="false">IF(OR(T(INDEX(UBICACIONES!$A$4:$A$13,INT((ROW()-5)/5)+1))="",T(INDEX(PARÁMETROS!$A$20:$A$24,MOD(ROW()-5,5)+1))=""),"",T(INDEX(UBICACIONES!$A$4:$A$13,INT((ROW()-5)/5)+1)))</f>
        <v/>
      </c>
      <c r="B13" s="24" t="str">
        <f aca="false">IF(OR(T(INDEX(UBICACIONES!$A$4:$A$13,INT((ROW()-5)/5)+1))="",T(INDEX(PARÁMETROS!$A$20:$A$24,MOD(ROW()-5,5)+1))=""),"",T(INDEX(PARÁMETROS!$A$20:$A$24,MOD(ROW()-5,5)+1)))</f>
        <v/>
      </c>
      <c r="C13" s="25" t="str">
        <f aca="false">IF($A13="","",SUMIFS(DIARIO!$I$3:$I$102,DIARIO!$E$3:$E$102,$A13,DIARIO!$H$3:$H$102,$B13,DIARIO!$B$3:$B$102,"&lt;"&amp;($B$2+1)))</f>
        <v/>
      </c>
      <c r="D13" s="25" t="str">
        <f aca="false">IF($A13="","",SUMIFS(DIARIO!$G$3:$G$102,DIARIO!$D$3:$D$102,$A13,DIARIO!$F$3:$F$102,$B13,DIARIO!$B$3:$B$102,"&lt;"&amp;($B$2+1)))</f>
        <v/>
      </c>
      <c r="E13" s="25" t="str">
        <f aca="false">IF($A13="","",SUMIFS(DIARIO!$J$3:$J$102,DIARIO!$D$3:$D$102,$A13,DIARIO!$K$3:$K$102,$B13,DIARIO!$B$3:$B$102,"&lt;"&amp;($B$2+1))+SUMIFS(DIARIO!$J$3:$J$102,DIARIO!$D$3:$D$102,"EXTERIOR",DIARIO!$E$3:$E$102,$A13,DIARIO!$K$3:$K$102,$B13,DIARIO!$B$3:$B$102,"&lt;"&amp;($B$2+1)))</f>
        <v/>
      </c>
      <c r="F13" s="25" t="str">
        <f aca="false">IF($A13="","",C13-D13-E13)</f>
        <v/>
      </c>
    </row>
    <row r="14" customFormat="false" ht="15" hidden="false" customHeight="false" outlineLevel="0" collapsed="false">
      <c r="A14" s="24" t="str">
        <f aca="false">IF(OR(T(INDEX(UBICACIONES!$A$4:$A$13,INT((ROW()-5)/5)+1))="",T(INDEX(PARÁMETROS!$A$20:$A$24,MOD(ROW()-5,5)+1))=""),"",T(INDEX(UBICACIONES!$A$4:$A$13,INT((ROW()-5)/5)+1)))</f>
        <v/>
      </c>
      <c r="B14" s="24" t="str">
        <f aca="false">IF(OR(T(INDEX(UBICACIONES!$A$4:$A$13,INT((ROW()-5)/5)+1))="",T(INDEX(PARÁMETROS!$A$20:$A$24,MOD(ROW()-5,5)+1))=""),"",T(INDEX(PARÁMETROS!$A$20:$A$24,MOD(ROW()-5,5)+1)))</f>
        <v/>
      </c>
      <c r="C14" s="25" t="str">
        <f aca="false">IF($A14="","",SUMIFS(DIARIO!$I$3:$I$102,DIARIO!$E$3:$E$102,$A14,DIARIO!$H$3:$H$102,$B14,DIARIO!$B$3:$B$102,"&lt;"&amp;($B$2+1)))</f>
        <v/>
      </c>
      <c r="D14" s="25" t="str">
        <f aca="false">IF($A14="","",SUMIFS(DIARIO!$G$3:$G$102,DIARIO!$D$3:$D$102,$A14,DIARIO!$F$3:$F$102,$B14,DIARIO!$B$3:$B$102,"&lt;"&amp;($B$2+1)))</f>
        <v/>
      </c>
      <c r="E14" s="25" t="str">
        <f aca="false">IF($A14="","",SUMIFS(DIARIO!$J$3:$J$102,DIARIO!$D$3:$D$102,$A14,DIARIO!$K$3:$K$102,$B14,DIARIO!$B$3:$B$102,"&lt;"&amp;($B$2+1))+SUMIFS(DIARIO!$J$3:$J$102,DIARIO!$D$3:$D$102,"EXTERIOR",DIARIO!$E$3:$E$102,$A14,DIARIO!$K$3:$K$102,$B14,DIARIO!$B$3:$B$102,"&lt;"&amp;($B$2+1)))</f>
        <v/>
      </c>
      <c r="F14" s="25" t="str">
        <f aca="false">IF($A14="","",C14-D14-E14)</f>
        <v/>
      </c>
    </row>
    <row r="15" customFormat="false" ht="15" hidden="false" customHeight="false" outlineLevel="0" collapsed="false">
      <c r="A15" s="24" t="str">
        <f aca="false">IF(OR(T(INDEX(UBICACIONES!$A$4:$A$13,INT((ROW()-5)/5)+1))="",T(INDEX(PARÁMETROS!$A$20:$A$24,MOD(ROW()-5,5)+1))=""),"",T(INDEX(UBICACIONES!$A$4:$A$13,INT((ROW()-5)/5)+1)))</f>
        <v>Canal-LN</v>
      </c>
      <c r="B15" s="24" t="str">
        <f aca="false">IF(OR(T(INDEX(UBICACIONES!$A$4:$A$13,INT((ROW()-5)/5)+1))="",T(INDEX(PARÁMETROS!$A$20:$A$24,MOD(ROW()-5,5)+1))=""),"",T(INDEX(PARÁMETROS!$A$20:$A$24,MOD(ROW()-5,5)+1)))</f>
        <v>BTC</v>
      </c>
      <c r="C15" s="25" t="n">
        <f aca="false">IF($A15="","",SUMIFS(DIARIO!$I$3:$I$102,DIARIO!$E$3:$E$102,$A15,DIARIO!$H$3:$H$102,$B15,DIARIO!$B$3:$B$102,"&lt;"&amp;($B$2+1)))</f>
        <v>0</v>
      </c>
      <c r="D15" s="25" t="n">
        <f aca="false">IF($A15="","",SUMIFS(DIARIO!$G$3:$G$102,DIARIO!$D$3:$D$102,$A15,DIARIO!$F$3:$F$102,$B15,DIARIO!$B$3:$B$102,"&lt;"&amp;($B$2+1)))</f>
        <v>0</v>
      </c>
      <c r="E15" s="25" t="n">
        <f aca="false">IF($A15="","",SUMIFS(DIARIO!$J$3:$J$102,DIARIO!$D$3:$D$102,$A15,DIARIO!$K$3:$K$102,$B15,DIARIO!$B$3:$B$102,"&lt;"&amp;($B$2+1))+SUMIFS(DIARIO!$J$3:$J$102,DIARIO!$D$3:$D$102,"EXTERIOR",DIARIO!$E$3:$E$102,$A15,DIARIO!$K$3:$K$102,$B15,DIARIO!$B$3:$B$102,"&lt;"&amp;($B$2+1)))</f>
        <v>0</v>
      </c>
      <c r="F15" s="25" t="n">
        <f aca="false">IF($A15="","",C15-D15-E15)</f>
        <v>0</v>
      </c>
    </row>
    <row r="16" customFormat="false" ht="15" hidden="false" customHeight="false" outlineLevel="0" collapsed="false">
      <c r="A16" s="24" t="str">
        <f aca="false">IF(OR(T(INDEX(UBICACIONES!$A$4:$A$13,INT((ROW()-5)/5)+1))="",T(INDEX(PARÁMETROS!$A$20:$A$24,MOD(ROW()-5,5)+1))=""),"",T(INDEX(UBICACIONES!$A$4:$A$13,INT((ROW()-5)/5)+1)))</f>
        <v>Canal-LN</v>
      </c>
      <c r="B16" s="24" t="str">
        <f aca="false">IF(OR(T(INDEX(UBICACIONES!$A$4:$A$13,INT((ROW()-5)/5)+1))="",T(INDEX(PARÁMETROS!$A$20:$A$24,MOD(ROW()-5,5)+1))=""),"",T(INDEX(PARÁMETROS!$A$20:$A$24,MOD(ROW()-5,5)+1)))</f>
        <v>EUR</v>
      </c>
      <c r="C16" s="25" t="n">
        <f aca="false">IF($A16="","",SUMIFS(DIARIO!$I$3:$I$102,DIARIO!$E$3:$E$102,$A16,DIARIO!$H$3:$H$102,$B16,DIARIO!$B$3:$B$102,"&lt;"&amp;($B$2+1)))</f>
        <v>0</v>
      </c>
      <c r="D16" s="25" t="n">
        <f aca="false">IF($A16="","",SUMIFS(DIARIO!$G$3:$G$102,DIARIO!$D$3:$D$102,$A16,DIARIO!$F$3:$F$102,$B16,DIARIO!$B$3:$B$102,"&lt;"&amp;($B$2+1)))</f>
        <v>0</v>
      </c>
      <c r="E16" s="25" t="n">
        <f aca="false">IF($A16="","",SUMIFS(DIARIO!$J$3:$J$102,DIARIO!$D$3:$D$102,$A16,DIARIO!$K$3:$K$102,$B16,DIARIO!$B$3:$B$102,"&lt;"&amp;($B$2+1))+SUMIFS(DIARIO!$J$3:$J$102,DIARIO!$D$3:$D$102,"EXTERIOR",DIARIO!$E$3:$E$102,$A16,DIARIO!$K$3:$K$102,$B16,DIARIO!$B$3:$B$102,"&lt;"&amp;($B$2+1)))</f>
        <v>0</v>
      </c>
      <c r="F16" s="25" t="n">
        <f aca="false">IF($A16="","",C16-D16-E16)</f>
        <v>0</v>
      </c>
    </row>
    <row r="17" customFormat="false" ht="15" hidden="false" customHeight="false" outlineLevel="0" collapsed="false">
      <c r="A17" s="24" t="str">
        <f aca="false">IF(OR(T(INDEX(UBICACIONES!$A$4:$A$13,INT((ROW()-5)/5)+1))="",T(INDEX(PARÁMETROS!$A$20:$A$24,MOD(ROW()-5,5)+1))=""),"",T(INDEX(UBICACIONES!$A$4:$A$13,INT((ROW()-5)/5)+1)))</f>
        <v/>
      </c>
      <c r="B17" s="24" t="str">
        <f aca="false">IF(OR(T(INDEX(UBICACIONES!$A$4:$A$13,INT((ROW()-5)/5)+1))="",T(INDEX(PARÁMETROS!$A$20:$A$24,MOD(ROW()-5,5)+1))=""),"",T(INDEX(PARÁMETROS!$A$20:$A$24,MOD(ROW()-5,5)+1)))</f>
        <v/>
      </c>
      <c r="C17" s="25" t="str">
        <f aca="false">IF($A17="","",SUMIFS(DIARIO!$I$3:$I$102,DIARIO!$E$3:$E$102,$A17,DIARIO!$H$3:$H$102,$B17,DIARIO!$B$3:$B$102,"&lt;"&amp;($B$2+1)))</f>
        <v/>
      </c>
      <c r="D17" s="25" t="str">
        <f aca="false">IF($A17="","",SUMIFS(DIARIO!$G$3:$G$102,DIARIO!$D$3:$D$102,$A17,DIARIO!$F$3:$F$102,$B17,DIARIO!$B$3:$B$102,"&lt;"&amp;($B$2+1)))</f>
        <v/>
      </c>
      <c r="E17" s="25" t="str">
        <f aca="false">IF($A17="","",SUMIFS(DIARIO!$J$3:$J$102,DIARIO!$D$3:$D$102,$A17,DIARIO!$K$3:$K$102,$B17,DIARIO!$B$3:$B$102,"&lt;"&amp;($B$2+1))+SUMIFS(DIARIO!$J$3:$J$102,DIARIO!$D$3:$D$102,"EXTERIOR",DIARIO!$E$3:$E$102,$A17,DIARIO!$K$3:$K$102,$B17,DIARIO!$B$3:$B$102,"&lt;"&amp;($B$2+1)))</f>
        <v/>
      </c>
      <c r="F17" s="25" t="str">
        <f aca="false">IF($A17="","",C17-D17-E17)</f>
        <v/>
      </c>
    </row>
    <row r="18" customFormat="false" ht="15" hidden="false" customHeight="false" outlineLevel="0" collapsed="false">
      <c r="A18" s="24" t="str">
        <f aca="false">IF(OR(T(INDEX(UBICACIONES!$A$4:$A$13,INT((ROW()-5)/5)+1))="",T(INDEX(PARÁMETROS!$A$20:$A$24,MOD(ROW()-5,5)+1))=""),"",T(INDEX(UBICACIONES!$A$4:$A$13,INT((ROW()-5)/5)+1)))</f>
        <v/>
      </c>
      <c r="B18" s="24" t="str">
        <f aca="false">IF(OR(T(INDEX(UBICACIONES!$A$4:$A$13,INT((ROW()-5)/5)+1))="",T(INDEX(PARÁMETROS!$A$20:$A$24,MOD(ROW()-5,5)+1))=""),"",T(INDEX(PARÁMETROS!$A$20:$A$24,MOD(ROW()-5,5)+1)))</f>
        <v/>
      </c>
      <c r="C18" s="25" t="str">
        <f aca="false">IF($A18="","",SUMIFS(DIARIO!$I$3:$I$102,DIARIO!$E$3:$E$102,$A18,DIARIO!$H$3:$H$102,$B18,DIARIO!$B$3:$B$102,"&lt;"&amp;($B$2+1)))</f>
        <v/>
      </c>
      <c r="D18" s="25" t="str">
        <f aca="false">IF($A18="","",SUMIFS(DIARIO!$G$3:$G$102,DIARIO!$D$3:$D$102,$A18,DIARIO!$F$3:$F$102,$B18,DIARIO!$B$3:$B$102,"&lt;"&amp;($B$2+1)))</f>
        <v/>
      </c>
      <c r="E18" s="25" t="str">
        <f aca="false">IF($A18="","",SUMIFS(DIARIO!$J$3:$J$102,DIARIO!$D$3:$D$102,$A18,DIARIO!$K$3:$K$102,$B18,DIARIO!$B$3:$B$102,"&lt;"&amp;($B$2+1))+SUMIFS(DIARIO!$J$3:$J$102,DIARIO!$D$3:$D$102,"EXTERIOR",DIARIO!$E$3:$E$102,$A18,DIARIO!$K$3:$K$102,$B18,DIARIO!$B$3:$B$102,"&lt;"&amp;($B$2+1)))</f>
        <v/>
      </c>
      <c r="F18" s="25" t="str">
        <f aca="false">IF($A18="","",C18-D18-E18)</f>
        <v/>
      </c>
    </row>
    <row r="19" customFormat="false" ht="15" hidden="false" customHeight="false" outlineLevel="0" collapsed="false">
      <c r="A19" s="24" t="str">
        <f aca="false">IF(OR(T(INDEX(UBICACIONES!$A$4:$A$13,INT((ROW()-5)/5)+1))="",T(INDEX(PARÁMETROS!$A$20:$A$24,MOD(ROW()-5,5)+1))=""),"",T(INDEX(UBICACIONES!$A$4:$A$13,INT((ROW()-5)/5)+1)))</f>
        <v/>
      </c>
      <c r="B19" s="24" t="str">
        <f aca="false">IF(OR(T(INDEX(UBICACIONES!$A$4:$A$13,INT((ROW()-5)/5)+1))="",T(INDEX(PARÁMETROS!$A$20:$A$24,MOD(ROW()-5,5)+1))=""),"",T(INDEX(PARÁMETROS!$A$20:$A$24,MOD(ROW()-5,5)+1)))</f>
        <v/>
      </c>
      <c r="C19" s="25" t="str">
        <f aca="false">IF($A19="","",SUMIFS(DIARIO!$I$3:$I$102,DIARIO!$E$3:$E$102,$A19,DIARIO!$H$3:$H$102,$B19,DIARIO!$B$3:$B$102,"&lt;"&amp;($B$2+1)))</f>
        <v/>
      </c>
      <c r="D19" s="25" t="str">
        <f aca="false">IF($A19="","",SUMIFS(DIARIO!$G$3:$G$102,DIARIO!$D$3:$D$102,$A19,DIARIO!$F$3:$F$102,$B19,DIARIO!$B$3:$B$102,"&lt;"&amp;($B$2+1)))</f>
        <v/>
      </c>
      <c r="E19" s="25" t="str">
        <f aca="false">IF($A19="","",SUMIFS(DIARIO!$J$3:$J$102,DIARIO!$D$3:$D$102,$A19,DIARIO!$K$3:$K$102,$B19,DIARIO!$B$3:$B$102,"&lt;"&amp;($B$2+1))+SUMIFS(DIARIO!$J$3:$J$102,DIARIO!$D$3:$D$102,"EXTERIOR",DIARIO!$E$3:$E$102,$A19,DIARIO!$K$3:$K$102,$B19,DIARIO!$B$3:$B$102,"&lt;"&amp;($B$2+1)))</f>
        <v/>
      </c>
      <c r="F19" s="25" t="str">
        <f aca="false">IF($A19="","",C19-D19-E19)</f>
        <v/>
      </c>
    </row>
    <row r="20" customFormat="false" ht="15" hidden="false" customHeight="false" outlineLevel="0" collapsed="false">
      <c r="A20" s="24" t="str">
        <f aca="false">IF(OR(T(INDEX(UBICACIONES!$A$4:$A$13,INT((ROW()-5)/5)+1))="",T(INDEX(PARÁMETROS!$A$20:$A$24,MOD(ROW()-5,5)+1))=""),"",T(INDEX(UBICACIONES!$A$4:$A$13,INT((ROW()-5)/5)+1)))</f>
        <v/>
      </c>
      <c r="B20" s="24" t="str">
        <f aca="false">IF(OR(T(INDEX(UBICACIONES!$A$4:$A$13,INT((ROW()-5)/5)+1))="",T(INDEX(PARÁMETROS!$A$20:$A$24,MOD(ROW()-5,5)+1))=""),"",T(INDEX(PARÁMETROS!$A$20:$A$24,MOD(ROW()-5,5)+1)))</f>
        <v/>
      </c>
      <c r="C20" s="25" t="str">
        <f aca="false">IF($A20="","",SUMIFS(DIARIO!$I$3:$I$102,DIARIO!$E$3:$E$102,$A20,DIARIO!$H$3:$H$102,$B20,DIARIO!$B$3:$B$102,"&lt;"&amp;($B$2+1)))</f>
        <v/>
      </c>
      <c r="D20" s="25" t="str">
        <f aca="false">IF($A20="","",SUMIFS(DIARIO!$G$3:$G$102,DIARIO!$D$3:$D$102,$A20,DIARIO!$F$3:$F$102,$B20,DIARIO!$B$3:$B$102,"&lt;"&amp;($B$2+1)))</f>
        <v/>
      </c>
      <c r="E20" s="25" t="str">
        <f aca="false">IF($A20="","",SUMIFS(DIARIO!$J$3:$J$102,DIARIO!$D$3:$D$102,$A20,DIARIO!$K$3:$K$102,$B20,DIARIO!$B$3:$B$102,"&lt;"&amp;($B$2+1))+SUMIFS(DIARIO!$J$3:$J$102,DIARIO!$D$3:$D$102,"EXTERIOR",DIARIO!$E$3:$E$102,$A20,DIARIO!$K$3:$K$102,$B20,DIARIO!$B$3:$B$102,"&lt;"&amp;($B$2+1)))</f>
        <v/>
      </c>
      <c r="F20" s="25" t="str">
        <f aca="false">IF($A20="","",C20-D20-E20)</f>
        <v/>
      </c>
    </row>
    <row r="21" customFormat="false" ht="15" hidden="false" customHeight="false" outlineLevel="0" collapsed="false">
      <c r="A21" s="24" t="str">
        <f aca="false">IF(OR(T(INDEX(UBICACIONES!$A$4:$A$13,INT((ROW()-5)/5)+1))="",T(INDEX(PARÁMETROS!$A$20:$A$24,MOD(ROW()-5,5)+1))=""),"",T(INDEX(UBICACIONES!$A$4:$A$13,INT((ROW()-5)/5)+1)))</f>
        <v/>
      </c>
      <c r="B21" s="24" t="str">
        <f aca="false">IF(OR(T(INDEX(UBICACIONES!$A$4:$A$13,INT((ROW()-5)/5)+1))="",T(INDEX(PARÁMETROS!$A$20:$A$24,MOD(ROW()-5,5)+1))=""),"",T(INDEX(PARÁMETROS!$A$20:$A$24,MOD(ROW()-5,5)+1)))</f>
        <v/>
      </c>
      <c r="C21" s="25" t="str">
        <f aca="false">IF($A21="","",SUMIFS(DIARIO!$I$3:$I$102,DIARIO!$E$3:$E$102,$A21,DIARIO!$H$3:$H$102,$B21,DIARIO!$B$3:$B$102,"&lt;"&amp;($B$2+1)))</f>
        <v/>
      </c>
      <c r="D21" s="25" t="str">
        <f aca="false">IF($A21="","",SUMIFS(DIARIO!$G$3:$G$102,DIARIO!$D$3:$D$102,$A21,DIARIO!$F$3:$F$102,$B21,DIARIO!$B$3:$B$102,"&lt;"&amp;($B$2+1)))</f>
        <v/>
      </c>
      <c r="E21" s="25" t="str">
        <f aca="false">IF($A21="","",SUMIFS(DIARIO!$J$3:$J$102,DIARIO!$D$3:$D$102,$A21,DIARIO!$K$3:$K$102,$B21,DIARIO!$B$3:$B$102,"&lt;"&amp;($B$2+1))+SUMIFS(DIARIO!$J$3:$J$102,DIARIO!$D$3:$D$102,"EXTERIOR",DIARIO!$E$3:$E$102,$A21,DIARIO!$K$3:$K$102,$B21,DIARIO!$B$3:$B$102,"&lt;"&amp;($B$2+1)))</f>
        <v/>
      </c>
      <c r="F21" s="25" t="str">
        <f aca="false">IF($A21="","",C21-D21-E21)</f>
        <v/>
      </c>
    </row>
    <row r="22" customFormat="false" ht="15" hidden="false" customHeight="false" outlineLevel="0" collapsed="false">
      <c r="A22" s="24" t="str">
        <f aca="false">IF(OR(T(INDEX(UBICACIONES!$A$4:$A$13,INT((ROW()-5)/5)+1))="",T(INDEX(PARÁMETROS!$A$20:$A$24,MOD(ROW()-5,5)+1))=""),"",T(INDEX(UBICACIONES!$A$4:$A$13,INT((ROW()-5)/5)+1)))</f>
        <v/>
      </c>
      <c r="B22" s="24" t="str">
        <f aca="false">IF(OR(T(INDEX(UBICACIONES!$A$4:$A$13,INT((ROW()-5)/5)+1))="",T(INDEX(PARÁMETROS!$A$20:$A$24,MOD(ROW()-5,5)+1))=""),"",T(INDEX(PARÁMETROS!$A$20:$A$24,MOD(ROW()-5,5)+1)))</f>
        <v/>
      </c>
      <c r="C22" s="25" t="str">
        <f aca="false">IF($A22="","",SUMIFS(DIARIO!$I$3:$I$102,DIARIO!$E$3:$E$102,$A22,DIARIO!$H$3:$H$102,$B22,DIARIO!$B$3:$B$102,"&lt;"&amp;($B$2+1)))</f>
        <v/>
      </c>
      <c r="D22" s="25" t="str">
        <f aca="false">IF($A22="","",SUMIFS(DIARIO!$G$3:$G$102,DIARIO!$D$3:$D$102,$A22,DIARIO!$F$3:$F$102,$B22,DIARIO!$B$3:$B$102,"&lt;"&amp;($B$2+1)))</f>
        <v/>
      </c>
      <c r="E22" s="25" t="str">
        <f aca="false">IF($A22="","",SUMIFS(DIARIO!$J$3:$J$102,DIARIO!$D$3:$D$102,$A22,DIARIO!$K$3:$K$102,$B22,DIARIO!$B$3:$B$102,"&lt;"&amp;($B$2+1))+SUMIFS(DIARIO!$J$3:$J$102,DIARIO!$D$3:$D$102,"EXTERIOR",DIARIO!$E$3:$E$102,$A22,DIARIO!$K$3:$K$102,$B22,DIARIO!$B$3:$B$102,"&lt;"&amp;($B$2+1)))</f>
        <v/>
      </c>
      <c r="F22" s="25" t="str">
        <f aca="false">IF($A22="","",C22-D22-E22)</f>
        <v/>
      </c>
    </row>
    <row r="23" customFormat="false" ht="15" hidden="false" customHeight="false" outlineLevel="0" collapsed="false">
      <c r="A23" s="24" t="str">
        <f aca="false">IF(OR(T(INDEX(UBICACIONES!$A$4:$A$13,INT((ROW()-5)/5)+1))="",T(INDEX(PARÁMETROS!$A$20:$A$24,MOD(ROW()-5,5)+1))=""),"",T(INDEX(UBICACIONES!$A$4:$A$13,INT((ROW()-5)/5)+1)))</f>
        <v/>
      </c>
      <c r="B23" s="24" t="str">
        <f aca="false">IF(OR(T(INDEX(UBICACIONES!$A$4:$A$13,INT((ROW()-5)/5)+1))="",T(INDEX(PARÁMETROS!$A$20:$A$24,MOD(ROW()-5,5)+1))=""),"",T(INDEX(PARÁMETROS!$A$20:$A$24,MOD(ROW()-5,5)+1)))</f>
        <v/>
      </c>
      <c r="C23" s="25" t="str">
        <f aca="false">IF($A23="","",SUMIFS(DIARIO!$I$3:$I$102,DIARIO!$E$3:$E$102,$A23,DIARIO!$H$3:$H$102,$B23,DIARIO!$B$3:$B$102,"&lt;"&amp;($B$2+1)))</f>
        <v/>
      </c>
      <c r="D23" s="25" t="str">
        <f aca="false">IF($A23="","",SUMIFS(DIARIO!$G$3:$G$102,DIARIO!$D$3:$D$102,$A23,DIARIO!$F$3:$F$102,$B23,DIARIO!$B$3:$B$102,"&lt;"&amp;($B$2+1)))</f>
        <v/>
      </c>
      <c r="E23" s="25" t="str">
        <f aca="false">IF($A23="","",SUMIFS(DIARIO!$J$3:$J$102,DIARIO!$D$3:$D$102,$A23,DIARIO!$K$3:$K$102,$B23,DIARIO!$B$3:$B$102,"&lt;"&amp;($B$2+1))+SUMIFS(DIARIO!$J$3:$J$102,DIARIO!$D$3:$D$102,"EXTERIOR",DIARIO!$E$3:$E$102,$A23,DIARIO!$K$3:$K$102,$B23,DIARIO!$B$3:$B$102,"&lt;"&amp;($B$2+1)))</f>
        <v/>
      </c>
      <c r="F23" s="25" t="str">
        <f aca="false">IF($A23="","",C23-D23-E23)</f>
        <v/>
      </c>
    </row>
    <row r="24" customFormat="false" ht="15" hidden="false" customHeight="false" outlineLevel="0" collapsed="false">
      <c r="A24" s="24" t="str">
        <f aca="false">IF(OR(T(INDEX(UBICACIONES!$A$4:$A$13,INT((ROW()-5)/5)+1))="",T(INDEX(PARÁMETROS!$A$20:$A$24,MOD(ROW()-5,5)+1))=""),"",T(INDEX(UBICACIONES!$A$4:$A$13,INT((ROW()-5)/5)+1)))</f>
        <v/>
      </c>
      <c r="B24" s="24" t="str">
        <f aca="false">IF(OR(T(INDEX(UBICACIONES!$A$4:$A$13,INT((ROW()-5)/5)+1))="",T(INDEX(PARÁMETROS!$A$20:$A$24,MOD(ROW()-5,5)+1))=""),"",T(INDEX(PARÁMETROS!$A$20:$A$24,MOD(ROW()-5,5)+1)))</f>
        <v/>
      </c>
      <c r="C24" s="25" t="str">
        <f aca="false">IF($A24="","",SUMIFS(DIARIO!$I$3:$I$102,DIARIO!$E$3:$E$102,$A24,DIARIO!$H$3:$H$102,$B24,DIARIO!$B$3:$B$102,"&lt;"&amp;($B$2+1)))</f>
        <v/>
      </c>
      <c r="D24" s="25" t="str">
        <f aca="false">IF($A24="","",SUMIFS(DIARIO!$G$3:$G$102,DIARIO!$D$3:$D$102,$A24,DIARIO!$F$3:$F$102,$B24,DIARIO!$B$3:$B$102,"&lt;"&amp;($B$2+1)))</f>
        <v/>
      </c>
      <c r="E24" s="25" t="str">
        <f aca="false">IF($A24="","",SUMIFS(DIARIO!$J$3:$J$102,DIARIO!$D$3:$D$102,$A24,DIARIO!$K$3:$K$102,$B24,DIARIO!$B$3:$B$102,"&lt;"&amp;($B$2+1))+SUMIFS(DIARIO!$J$3:$J$102,DIARIO!$D$3:$D$102,"EXTERIOR",DIARIO!$E$3:$E$102,$A24,DIARIO!$K$3:$K$102,$B24,DIARIO!$B$3:$B$102,"&lt;"&amp;($B$2+1)))</f>
        <v/>
      </c>
      <c r="F24" s="25" t="str">
        <f aca="false">IF($A24="","",C24-D24-E24)</f>
        <v/>
      </c>
    </row>
    <row r="25" customFormat="false" ht="15" hidden="false" customHeight="false" outlineLevel="0" collapsed="false">
      <c r="A25" s="24" t="str">
        <f aca="false">IF(OR(T(INDEX(UBICACIONES!$A$4:$A$13,INT((ROW()-5)/5)+1))="",T(INDEX(PARÁMETROS!$A$20:$A$24,MOD(ROW()-5,5)+1))=""),"",T(INDEX(UBICACIONES!$A$4:$A$13,INT((ROW()-5)/5)+1)))</f>
        <v/>
      </c>
      <c r="B25" s="24" t="str">
        <f aca="false">IF(OR(T(INDEX(UBICACIONES!$A$4:$A$13,INT((ROW()-5)/5)+1))="",T(INDEX(PARÁMETROS!$A$20:$A$24,MOD(ROW()-5,5)+1))=""),"",T(INDEX(PARÁMETROS!$A$20:$A$24,MOD(ROW()-5,5)+1)))</f>
        <v/>
      </c>
      <c r="C25" s="25" t="str">
        <f aca="false">IF($A25="","",SUMIFS(DIARIO!$I$3:$I$102,DIARIO!$E$3:$E$102,$A25,DIARIO!$H$3:$H$102,$B25,DIARIO!$B$3:$B$102,"&lt;"&amp;($B$2+1)))</f>
        <v/>
      </c>
      <c r="D25" s="25" t="str">
        <f aca="false">IF($A25="","",SUMIFS(DIARIO!$G$3:$G$102,DIARIO!$D$3:$D$102,$A25,DIARIO!$F$3:$F$102,$B25,DIARIO!$B$3:$B$102,"&lt;"&amp;($B$2+1)))</f>
        <v/>
      </c>
      <c r="E25" s="25" t="str">
        <f aca="false">IF($A25="","",SUMIFS(DIARIO!$J$3:$J$102,DIARIO!$D$3:$D$102,$A25,DIARIO!$K$3:$K$102,$B25,DIARIO!$B$3:$B$102,"&lt;"&amp;($B$2+1))+SUMIFS(DIARIO!$J$3:$J$102,DIARIO!$D$3:$D$102,"EXTERIOR",DIARIO!$E$3:$E$102,$A25,DIARIO!$K$3:$K$102,$B25,DIARIO!$B$3:$B$102,"&lt;"&amp;($B$2+1)))</f>
        <v/>
      </c>
      <c r="F25" s="25" t="str">
        <f aca="false">IF($A25="","",C25-D25-E25)</f>
        <v/>
      </c>
    </row>
    <row r="26" customFormat="false" ht="15" hidden="false" customHeight="false" outlineLevel="0" collapsed="false">
      <c r="A26" s="24" t="str">
        <f aca="false">IF(OR(T(INDEX(UBICACIONES!$A$4:$A$13,INT((ROW()-5)/5)+1))="",T(INDEX(PARÁMETROS!$A$20:$A$24,MOD(ROW()-5,5)+1))=""),"",T(INDEX(UBICACIONES!$A$4:$A$13,INT((ROW()-5)/5)+1)))</f>
        <v/>
      </c>
      <c r="B26" s="24" t="str">
        <f aca="false">IF(OR(T(INDEX(UBICACIONES!$A$4:$A$13,INT((ROW()-5)/5)+1))="",T(INDEX(PARÁMETROS!$A$20:$A$24,MOD(ROW()-5,5)+1))=""),"",T(INDEX(PARÁMETROS!$A$20:$A$24,MOD(ROW()-5,5)+1)))</f>
        <v/>
      </c>
      <c r="C26" s="25" t="str">
        <f aca="false">IF($A26="","",SUMIFS(DIARIO!$I$3:$I$102,DIARIO!$E$3:$E$102,$A26,DIARIO!$H$3:$H$102,$B26,DIARIO!$B$3:$B$102,"&lt;"&amp;($B$2+1)))</f>
        <v/>
      </c>
      <c r="D26" s="25" t="str">
        <f aca="false">IF($A26="","",SUMIFS(DIARIO!$G$3:$G$102,DIARIO!$D$3:$D$102,$A26,DIARIO!$F$3:$F$102,$B26,DIARIO!$B$3:$B$102,"&lt;"&amp;($B$2+1)))</f>
        <v/>
      </c>
      <c r="E26" s="25" t="str">
        <f aca="false">IF($A26="","",SUMIFS(DIARIO!$J$3:$J$102,DIARIO!$D$3:$D$102,$A26,DIARIO!$K$3:$K$102,$B26,DIARIO!$B$3:$B$102,"&lt;"&amp;($B$2+1))+SUMIFS(DIARIO!$J$3:$J$102,DIARIO!$D$3:$D$102,"EXTERIOR",DIARIO!$E$3:$E$102,$A26,DIARIO!$K$3:$K$102,$B26,DIARIO!$B$3:$B$102,"&lt;"&amp;($B$2+1)))</f>
        <v/>
      </c>
      <c r="F26" s="25" t="str">
        <f aca="false">IF($A26="","",C26-D26-E26)</f>
        <v/>
      </c>
    </row>
    <row r="27" customFormat="false" ht="15" hidden="false" customHeight="false" outlineLevel="0" collapsed="false">
      <c r="A27" s="24" t="str">
        <f aca="false">IF(OR(T(INDEX(UBICACIONES!$A$4:$A$13,INT((ROW()-5)/5)+1))="",T(INDEX(PARÁMETROS!$A$20:$A$24,MOD(ROW()-5,5)+1))=""),"",T(INDEX(UBICACIONES!$A$4:$A$13,INT((ROW()-5)/5)+1)))</f>
        <v/>
      </c>
      <c r="B27" s="24" t="str">
        <f aca="false">IF(OR(T(INDEX(UBICACIONES!$A$4:$A$13,INT((ROW()-5)/5)+1))="",T(INDEX(PARÁMETROS!$A$20:$A$24,MOD(ROW()-5,5)+1))=""),"",T(INDEX(PARÁMETROS!$A$20:$A$24,MOD(ROW()-5,5)+1)))</f>
        <v/>
      </c>
      <c r="C27" s="25" t="str">
        <f aca="false">IF($A27="","",SUMIFS(DIARIO!$I$3:$I$102,DIARIO!$E$3:$E$102,$A27,DIARIO!$H$3:$H$102,$B27,DIARIO!$B$3:$B$102,"&lt;"&amp;($B$2+1)))</f>
        <v/>
      </c>
      <c r="D27" s="25" t="str">
        <f aca="false">IF($A27="","",SUMIFS(DIARIO!$G$3:$G$102,DIARIO!$D$3:$D$102,$A27,DIARIO!$F$3:$F$102,$B27,DIARIO!$B$3:$B$102,"&lt;"&amp;($B$2+1)))</f>
        <v/>
      </c>
      <c r="E27" s="25" t="str">
        <f aca="false">IF($A27="","",SUMIFS(DIARIO!$J$3:$J$102,DIARIO!$D$3:$D$102,$A27,DIARIO!$K$3:$K$102,$B27,DIARIO!$B$3:$B$102,"&lt;"&amp;($B$2+1))+SUMIFS(DIARIO!$J$3:$J$102,DIARIO!$D$3:$D$102,"EXTERIOR",DIARIO!$E$3:$E$102,$A27,DIARIO!$K$3:$K$102,$B27,DIARIO!$B$3:$B$102,"&lt;"&amp;($B$2+1)))</f>
        <v/>
      </c>
      <c r="F27" s="25" t="str">
        <f aca="false">IF($A27="","",C27-D27-E27)</f>
        <v/>
      </c>
    </row>
    <row r="28" customFormat="false" ht="15" hidden="false" customHeight="false" outlineLevel="0" collapsed="false">
      <c r="A28" s="24" t="str">
        <f aca="false">IF(OR(T(INDEX(UBICACIONES!$A$4:$A$13,INT((ROW()-5)/5)+1))="",T(INDEX(PARÁMETROS!$A$20:$A$24,MOD(ROW()-5,5)+1))=""),"",T(INDEX(UBICACIONES!$A$4:$A$13,INT((ROW()-5)/5)+1)))</f>
        <v/>
      </c>
      <c r="B28" s="24" t="str">
        <f aca="false">IF(OR(T(INDEX(UBICACIONES!$A$4:$A$13,INT((ROW()-5)/5)+1))="",T(INDEX(PARÁMETROS!$A$20:$A$24,MOD(ROW()-5,5)+1))=""),"",T(INDEX(PARÁMETROS!$A$20:$A$24,MOD(ROW()-5,5)+1)))</f>
        <v/>
      </c>
      <c r="C28" s="25" t="str">
        <f aca="false">IF($A28="","",SUMIFS(DIARIO!$I$3:$I$102,DIARIO!$E$3:$E$102,$A28,DIARIO!$H$3:$H$102,$B28,DIARIO!$B$3:$B$102,"&lt;"&amp;($B$2+1)))</f>
        <v/>
      </c>
      <c r="D28" s="25" t="str">
        <f aca="false">IF($A28="","",SUMIFS(DIARIO!$G$3:$G$102,DIARIO!$D$3:$D$102,$A28,DIARIO!$F$3:$F$102,$B28,DIARIO!$B$3:$B$102,"&lt;"&amp;($B$2+1)))</f>
        <v/>
      </c>
      <c r="E28" s="25" t="str">
        <f aca="false">IF($A28="","",SUMIFS(DIARIO!$J$3:$J$102,DIARIO!$D$3:$D$102,$A28,DIARIO!$K$3:$K$102,$B28,DIARIO!$B$3:$B$102,"&lt;"&amp;($B$2+1))+SUMIFS(DIARIO!$J$3:$J$102,DIARIO!$D$3:$D$102,"EXTERIOR",DIARIO!$E$3:$E$102,$A28,DIARIO!$K$3:$K$102,$B28,DIARIO!$B$3:$B$102,"&lt;"&amp;($B$2+1)))</f>
        <v/>
      </c>
      <c r="F28" s="25" t="str">
        <f aca="false">IF($A28="","",C28-D28-E28)</f>
        <v/>
      </c>
    </row>
    <row r="29" customFormat="false" ht="15" hidden="false" customHeight="false" outlineLevel="0" collapsed="false">
      <c r="A29" s="24" t="str">
        <f aca="false">IF(OR(T(INDEX(UBICACIONES!$A$4:$A$13,INT((ROW()-5)/5)+1))="",T(INDEX(PARÁMETROS!$A$20:$A$24,MOD(ROW()-5,5)+1))=""),"",T(INDEX(UBICACIONES!$A$4:$A$13,INT((ROW()-5)/5)+1)))</f>
        <v/>
      </c>
      <c r="B29" s="24" t="str">
        <f aca="false">IF(OR(T(INDEX(UBICACIONES!$A$4:$A$13,INT((ROW()-5)/5)+1))="",T(INDEX(PARÁMETROS!$A$20:$A$24,MOD(ROW()-5,5)+1))=""),"",T(INDEX(PARÁMETROS!$A$20:$A$24,MOD(ROW()-5,5)+1)))</f>
        <v/>
      </c>
      <c r="C29" s="25" t="str">
        <f aca="false">IF($A29="","",SUMIFS(DIARIO!$I$3:$I$102,DIARIO!$E$3:$E$102,$A29,DIARIO!$H$3:$H$102,$B29,DIARIO!$B$3:$B$102,"&lt;"&amp;($B$2+1)))</f>
        <v/>
      </c>
      <c r="D29" s="25" t="str">
        <f aca="false">IF($A29="","",SUMIFS(DIARIO!$G$3:$G$102,DIARIO!$D$3:$D$102,$A29,DIARIO!$F$3:$F$102,$B29,DIARIO!$B$3:$B$102,"&lt;"&amp;($B$2+1)))</f>
        <v/>
      </c>
      <c r="E29" s="25" t="str">
        <f aca="false">IF($A29="","",SUMIFS(DIARIO!$J$3:$J$102,DIARIO!$D$3:$D$102,$A29,DIARIO!$K$3:$K$102,$B29,DIARIO!$B$3:$B$102,"&lt;"&amp;($B$2+1))+SUMIFS(DIARIO!$J$3:$J$102,DIARIO!$D$3:$D$102,"EXTERIOR",DIARIO!$E$3:$E$102,$A29,DIARIO!$K$3:$K$102,$B29,DIARIO!$B$3:$B$102,"&lt;"&amp;($B$2+1)))</f>
        <v/>
      </c>
      <c r="F29" s="25" t="str">
        <f aca="false">IF($A29="","",C29-D29-E29)</f>
        <v/>
      </c>
    </row>
    <row r="30" customFormat="false" ht="15" hidden="false" customHeight="false" outlineLevel="0" collapsed="false">
      <c r="A30" s="24" t="str">
        <f aca="false">IF(OR(T(INDEX(UBICACIONES!$A$4:$A$13,INT((ROW()-5)/5)+1))="",T(INDEX(PARÁMETROS!$A$20:$A$24,MOD(ROW()-5,5)+1))=""),"",T(INDEX(UBICACIONES!$A$4:$A$13,INT((ROW()-5)/5)+1)))</f>
        <v/>
      </c>
      <c r="B30" s="24" t="str">
        <f aca="false">IF(OR(T(INDEX(UBICACIONES!$A$4:$A$13,INT((ROW()-5)/5)+1))="",T(INDEX(PARÁMETROS!$A$20:$A$24,MOD(ROW()-5,5)+1))=""),"",T(INDEX(PARÁMETROS!$A$20:$A$24,MOD(ROW()-5,5)+1)))</f>
        <v/>
      </c>
      <c r="C30" s="25" t="str">
        <f aca="false">IF($A30="","",SUMIFS(DIARIO!$I$3:$I$102,DIARIO!$E$3:$E$102,$A30,DIARIO!$H$3:$H$102,$B30,DIARIO!$B$3:$B$102,"&lt;"&amp;($B$2+1)))</f>
        <v/>
      </c>
      <c r="D30" s="25" t="str">
        <f aca="false">IF($A30="","",SUMIFS(DIARIO!$G$3:$G$102,DIARIO!$D$3:$D$102,$A30,DIARIO!$F$3:$F$102,$B30,DIARIO!$B$3:$B$102,"&lt;"&amp;($B$2+1)))</f>
        <v/>
      </c>
      <c r="E30" s="25" t="str">
        <f aca="false">IF($A30="","",SUMIFS(DIARIO!$J$3:$J$102,DIARIO!$D$3:$D$102,$A30,DIARIO!$K$3:$K$102,$B30,DIARIO!$B$3:$B$102,"&lt;"&amp;($B$2+1))+SUMIFS(DIARIO!$J$3:$J$102,DIARIO!$D$3:$D$102,"EXTERIOR",DIARIO!$E$3:$E$102,$A30,DIARIO!$K$3:$K$102,$B30,DIARIO!$B$3:$B$102,"&lt;"&amp;($B$2+1)))</f>
        <v/>
      </c>
      <c r="F30" s="25" t="str">
        <f aca="false">IF($A30="","",C30-D30-E30)</f>
        <v/>
      </c>
    </row>
    <row r="31" customFormat="false" ht="15" hidden="false" customHeight="false" outlineLevel="0" collapsed="false">
      <c r="A31" s="24" t="str">
        <f aca="false">IF(OR(T(INDEX(UBICACIONES!$A$4:$A$13,INT((ROW()-5)/5)+1))="",T(INDEX(PARÁMETROS!$A$20:$A$24,MOD(ROW()-5,5)+1))=""),"",T(INDEX(UBICACIONES!$A$4:$A$13,INT((ROW()-5)/5)+1)))</f>
        <v/>
      </c>
      <c r="B31" s="24" t="str">
        <f aca="false">IF(OR(T(INDEX(UBICACIONES!$A$4:$A$13,INT((ROW()-5)/5)+1))="",T(INDEX(PARÁMETROS!$A$20:$A$24,MOD(ROW()-5,5)+1))=""),"",T(INDEX(PARÁMETROS!$A$20:$A$24,MOD(ROW()-5,5)+1)))</f>
        <v/>
      </c>
      <c r="C31" s="25" t="str">
        <f aca="false">IF($A31="","",SUMIFS(DIARIO!$I$3:$I$102,DIARIO!$E$3:$E$102,$A31,DIARIO!$H$3:$H$102,$B31,DIARIO!$B$3:$B$102,"&lt;"&amp;($B$2+1)))</f>
        <v/>
      </c>
      <c r="D31" s="25" t="str">
        <f aca="false">IF($A31="","",SUMIFS(DIARIO!$G$3:$G$102,DIARIO!$D$3:$D$102,$A31,DIARIO!$F$3:$F$102,$B31,DIARIO!$B$3:$B$102,"&lt;"&amp;($B$2+1)))</f>
        <v/>
      </c>
      <c r="E31" s="25" t="str">
        <f aca="false">IF($A31="","",SUMIFS(DIARIO!$J$3:$J$102,DIARIO!$D$3:$D$102,$A31,DIARIO!$K$3:$K$102,$B31,DIARIO!$B$3:$B$102,"&lt;"&amp;($B$2+1))+SUMIFS(DIARIO!$J$3:$J$102,DIARIO!$D$3:$D$102,"EXTERIOR",DIARIO!$E$3:$E$102,$A31,DIARIO!$K$3:$K$102,$B31,DIARIO!$B$3:$B$102,"&lt;"&amp;($B$2+1)))</f>
        <v/>
      </c>
      <c r="F31" s="25" t="str">
        <f aca="false">IF($A31="","",C31-D31-E31)</f>
        <v/>
      </c>
    </row>
    <row r="32" customFormat="false" ht="15" hidden="false" customHeight="false" outlineLevel="0" collapsed="false">
      <c r="A32" s="24" t="str">
        <f aca="false">IF(OR(T(INDEX(UBICACIONES!$A$4:$A$13,INT((ROW()-5)/5)+1))="",T(INDEX(PARÁMETROS!$A$20:$A$24,MOD(ROW()-5,5)+1))=""),"",T(INDEX(UBICACIONES!$A$4:$A$13,INT((ROW()-5)/5)+1)))</f>
        <v/>
      </c>
      <c r="B32" s="24" t="str">
        <f aca="false">IF(OR(T(INDEX(UBICACIONES!$A$4:$A$13,INT((ROW()-5)/5)+1))="",T(INDEX(PARÁMETROS!$A$20:$A$24,MOD(ROW()-5,5)+1))=""),"",T(INDEX(PARÁMETROS!$A$20:$A$24,MOD(ROW()-5,5)+1)))</f>
        <v/>
      </c>
      <c r="C32" s="25" t="str">
        <f aca="false">IF($A32="","",SUMIFS(DIARIO!$I$3:$I$102,DIARIO!$E$3:$E$102,$A32,DIARIO!$H$3:$H$102,$B32,DIARIO!$B$3:$B$102,"&lt;"&amp;($B$2+1)))</f>
        <v/>
      </c>
      <c r="D32" s="25" t="str">
        <f aca="false">IF($A32="","",SUMIFS(DIARIO!$G$3:$G$102,DIARIO!$D$3:$D$102,$A32,DIARIO!$F$3:$F$102,$B32,DIARIO!$B$3:$B$102,"&lt;"&amp;($B$2+1)))</f>
        <v/>
      </c>
      <c r="E32" s="25" t="str">
        <f aca="false">IF($A32="","",SUMIFS(DIARIO!$J$3:$J$102,DIARIO!$D$3:$D$102,$A32,DIARIO!$K$3:$K$102,$B32,DIARIO!$B$3:$B$102,"&lt;"&amp;($B$2+1))+SUMIFS(DIARIO!$J$3:$J$102,DIARIO!$D$3:$D$102,"EXTERIOR",DIARIO!$E$3:$E$102,$A32,DIARIO!$K$3:$K$102,$B32,DIARIO!$B$3:$B$102,"&lt;"&amp;($B$2+1)))</f>
        <v/>
      </c>
      <c r="F32" s="25" t="str">
        <f aca="false">IF($A32="","",C32-D32-E32)</f>
        <v/>
      </c>
    </row>
    <row r="33" customFormat="false" ht="15" hidden="false" customHeight="false" outlineLevel="0" collapsed="false">
      <c r="A33" s="24" t="str">
        <f aca="false">IF(OR(T(INDEX(UBICACIONES!$A$4:$A$13,INT((ROW()-5)/5)+1))="",T(INDEX(PARÁMETROS!$A$20:$A$24,MOD(ROW()-5,5)+1))=""),"",T(INDEX(UBICACIONES!$A$4:$A$13,INT((ROW()-5)/5)+1)))</f>
        <v/>
      </c>
      <c r="B33" s="24" t="str">
        <f aca="false">IF(OR(T(INDEX(UBICACIONES!$A$4:$A$13,INT((ROW()-5)/5)+1))="",T(INDEX(PARÁMETROS!$A$20:$A$24,MOD(ROW()-5,5)+1))=""),"",T(INDEX(PARÁMETROS!$A$20:$A$24,MOD(ROW()-5,5)+1)))</f>
        <v/>
      </c>
      <c r="C33" s="25" t="str">
        <f aca="false">IF($A33="","",SUMIFS(DIARIO!$I$3:$I$102,DIARIO!$E$3:$E$102,$A33,DIARIO!$H$3:$H$102,$B33,DIARIO!$B$3:$B$102,"&lt;"&amp;($B$2+1)))</f>
        <v/>
      </c>
      <c r="D33" s="25" t="str">
        <f aca="false">IF($A33="","",SUMIFS(DIARIO!$G$3:$G$102,DIARIO!$D$3:$D$102,$A33,DIARIO!$F$3:$F$102,$B33,DIARIO!$B$3:$B$102,"&lt;"&amp;($B$2+1)))</f>
        <v/>
      </c>
      <c r="E33" s="25" t="str">
        <f aca="false">IF($A33="","",SUMIFS(DIARIO!$J$3:$J$102,DIARIO!$D$3:$D$102,$A33,DIARIO!$K$3:$K$102,$B33,DIARIO!$B$3:$B$102,"&lt;"&amp;($B$2+1))+SUMIFS(DIARIO!$J$3:$J$102,DIARIO!$D$3:$D$102,"EXTERIOR",DIARIO!$E$3:$E$102,$A33,DIARIO!$K$3:$K$102,$B33,DIARIO!$B$3:$B$102,"&lt;"&amp;($B$2+1)))</f>
        <v/>
      </c>
      <c r="F33" s="25" t="str">
        <f aca="false">IF($A33="","",C33-D33-E33)</f>
        <v/>
      </c>
    </row>
    <row r="34" customFormat="false" ht="15" hidden="false" customHeight="false" outlineLevel="0" collapsed="false">
      <c r="A34" s="24" t="str">
        <f aca="false">IF(OR(T(INDEX(UBICACIONES!$A$4:$A$13,INT((ROW()-5)/5)+1))="",T(INDEX(PARÁMETROS!$A$20:$A$24,MOD(ROW()-5,5)+1))=""),"",T(INDEX(UBICACIONES!$A$4:$A$13,INT((ROW()-5)/5)+1)))</f>
        <v/>
      </c>
      <c r="B34" s="24" t="str">
        <f aca="false">IF(OR(T(INDEX(UBICACIONES!$A$4:$A$13,INT((ROW()-5)/5)+1))="",T(INDEX(PARÁMETROS!$A$20:$A$24,MOD(ROW()-5,5)+1))=""),"",T(INDEX(PARÁMETROS!$A$20:$A$24,MOD(ROW()-5,5)+1)))</f>
        <v/>
      </c>
      <c r="C34" s="25" t="str">
        <f aca="false">IF($A34="","",SUMIFS(DIARIO!$I$3:$I$102,DIARIO!$E$3:$E$102,$A34,DIARIO!$H$3:$H$102,$B34,DIARIO!$B$3:$B$102,"&lt;"&amp;($B$2+1)))</f>
        <v/>
      </c>
      <c r="D34" s="25" t="str">
        <f aca="false">IF($A34="","",SUMIFS(DIARIO!$G$3:$G$102,DIARIO!$D$3:$D$102,$A34,DIARIO!$F$3:$F$102,$B34,DIARIO!$B$3:$B$102,"&lt;"&amp;($B$2+1)))</f>
        <v/>
      </c>
      <c r="E34" s="25" t="str">
        <f aca="false">IF($A34="","",SUMIFS(DIARIO!$J$3:$J$102,DIARIO!$D$3:$D$102,$A34,DIARIO!$K$3:$K$102,$B34,DIARIO!$B$3:$B$102,"&lt;"&amp;($B$2+1))+SUMIFS(DIARIO!$J$3:$J$102,DIARIO!$D$3:$D$102,"EXTERIOR",DIARIO!$E$3:$E$102,$A34,DIARIO!$K$3:$K$102,$B34,DIARIO!$B$3:$B$102,"&lt;"&amp;($B$2+1)))</f>
        <v/>
      </c>
      <c r="F34" s="25" t="str">
        <f aca="false">IF($A34="","",C34-D34-E34)</f>
        <v/>
      </c>
    </row>
    <row r="35" customFormat="false" ht="15" hidden="false" customHeight="false" outlineLevel="0" collapsed="false">
      <c r="A35" s="24" t="str">
        <f aca="false">IF(OR(T(INDEX(UBICACIONES!$A$4:$A$13,INT((ROW()-5)/5)+1))="",T(INDEX(PARÁMETROS!$A$20:$A$24,MOD(ROW()-5,5)+1))=""),"",T(INDEX(UBICACIONES!$A$4:$A$13,INT((ROW()-5)/5)+1)))</f>
        <v/>
      </c>
      <c r="B35" s="24" t="str">
        <f aca="false">IF(OR(T(INDEX(UBICACIONES!$A$4:$A$13,INT((ROW()-5)/5)+1))="",T(INDEX(PARÁMETROS!$A$20:$A$24,MOD(ROW()-5,5)+1))=""),"",T(INDEX(PARÁMETROS!$A$20:$A$24,MOD(ROW()-5,5)+1)))</f>
        <v/>
      </c>
      <c r="C35" s="25" t="str">
        <f aca="false">IF($A35="","",SUMIFS(DIARIO!$I$3:$I$102,DIARIO!$E$3:$E$102,$A35,DIARIO!$H$3:$H$102,$B35,DIARIO!$B$3:$B$102,"&lt;"&amp;($B$2+1)))</f>
        <v/>
      </c>
      <c r="D35" s="25" t="str">
        <f aca="false">IF($A35="","",SUMIFS(DIARIO!$G$3:$G$102,DIARIO!$D$3:$D$102,$A35,DIARIO!$F$3:$F$102,$B35,DIARIO!$B$3:$B$102,"&lt;"&amp;($B$2+1)))</f>
        <v/>
      </c>
      <c r="E35" s="25" t="str">
        <f aca="false">IF($A35="","",SUMIFS(DIARIO!$J$3:$J$102,DIARIO!$D$3:$D$102,$A35,DIARIO!$K$3:$K$102,$B35,DIARIO!$B$3:$B$102,"&lt;"&amp;($B$2+1))+SUMIFS(DIARIO!$J$3:$J$102,DIARIO!$D$3:$D$102,"EXTERIOR",DIARIO!$E$3:$E$102,$A35,DIARIO!$K$3:$K$102,$B35,DIARIO!$B$3:$B$102,"&lt;"&amp;($B$2+1)))</f>
        <v/>
      </c>
      <c r="F35" s="25" t="str">
        <f aca="false">IF($A35="","",C35-D35-E35)</f>
        <v/>
      </c>
    </row>
    <row r="36" customFormat="false" ht="15" hidden="false" customHeight="false" outlineLevel="0" collapsed="false">
      <c r="A36" s="24" t="str">
        <f aca="false">IF(OR(T(INDEX(UBICACIONES!$A$4:$A$13,INT((ROW()-5)/5)+1))="",T(INDEX(PARÁMETROS!$A$20:$A$24,MOD(ROW()-5,5)+1))=""),"",T(INDEX(UBICACIONES!$A$4:$A$13,INT((ROW()-5)/5)+1)))</f>
        <v/>
      </c>
      <c r="B36" s="24" t="str">
        <f aca="false">IF(OR(T(INDEX(UBICACIONES!$A$4:$A$13,INT((ROW()-5)/5)+1))="",T(INDEX(PARÁMETROS!$A$20:$A$24,MOD(ROW()-5,5)+1))=""),"",T(INDEX(PARÁMETROS!$A$20:$A$24,MOD(ROW()-5,5)+1)))</f>
        <v/>
      </c>
      <c r="C36" s="25" t="str">
        <f aca="false">IF($A36="","",SUMIFS(DIARIO!$I$3:$I$102,DIARIO!$E$3:$E$102,$A36,DIARIO!$H$3:$H$102,$B36,DIARIO!$B$3:$B$102,"&lt;"&amp;($B$2+1)))</f>
        <v/>
      </c>
      <c r="D36" s="25" t="str">
        <f aca="false">IF($A36="","",SUMIFS(DIARIO!$G$3:$G$102,DIARIO!$D$3:$D$102,$A36,DIARIO!$F$3:$F$102,$B36,DIARIO!$B$3:$B$102,"&lt;"&amp;($B$2+1)))</f>
        <v/>
      </c>
      <c r="E36" s="25" t="str">
        <f aca="false">IF($A36="","",SUMIFS(DIARIO!$J$3:$J$102,DIARIO!$D$3:$D$102,$A36,DIARIO!$K$3:$K$102,$B36,DIARIO!$B$3:$B$102,"&lt;"&amp;($B$2+1))+SUMIFS(DIARIO!$J$3:$J$102,DIARIO!$D$3:$D$102,"EXTERIOR",DIARIO!$E$3:$E$102,$A36,DIARIO!$K$3:$K$102,$B36,DIARIO!$B$3:$B$102,"&lt;"&amp;($B$2+1)))</f>
        <v/>
      </c>
      <c r="F36" s="25" t="str">
        <f aca="false">IF($A36="","",C36-D36-E36)</f>
        <v/>
      </c>
    </row>
    <row r="37" customFormat="false" ht="15" hidden="false" customHeight="false" outlineLevel="0" collapsed="false">
      <c r="A37" s="24" t="str">
        <f aca="false">IF(OR(T(INDEX(UBICACIONES!$A$4:$A$13,INT((ROW()-5)/5)+1))="",T(INDEX(PARÁMETROS!$A$20:$A$24,MOD(ROW()-5,5)+1))=""),"",T(INDEX(UBICACIONES!$A$4:$A$13,INT((ROW()-5)/5)+1)))</f>
        <v/>
      </c>
      <c r="B37" s="24" t="str">
        <f aca="false">IF(OR(T(INDEX(UBICACIONES!$A$4:$A$13,INT((ROW()-5)/5)+1))="",T(INDEX(PARÁMETROS!$A$20:$A$24,MOD(ROW()-5,5)+1))=""),"",T(INDEX(PARÁMETROS!$A$20:$A$24,MOD(ROW()-5,5)+1)))</f>
        <v/>
      </c>
      <c r="C37" s="25" t="str">
        <f aca="false">IF($A37="","",SUMIFS(DIARIO!$I$3:$I$102,DIARIO!$E$3:$E$102,$A37,DIARIO!$H$3:$H$102,$B37,DIARIO!$B$3:$B$102,"&lt;"&amp;($B$2+1)))</f>
        <v/>
      </c>
      <c r="D37" s="25" t="str">
        <f aca="false">IF($A37="","",SUMIFS(DIARIO!$G$3:$G$102,DIARIO!$D$3:$D$102,$A37,DIARIO!$F$3:$F$102,$B37,DIARIO!$B$3:$B$102,"&lt;"&amp;($B$2+1)))</f>
        <v/>
      </c>
      <c r="E37" s="25" t="str">
        <f aca="false">IF($A37="","",SUMIFS(DIARIO!$J$3:$J$102,DIARIO!$D$3:$D$102,$A37,DIARIO!$K$3:$K$102,$B37,DIARIO!$B$3:$B$102,"&lt;"&amp;($B$2+1))+SUMIFS(DIARIO!$J$3:$J$102,DIARIO!$D$3:$D$102,"EXTERIOR",DIARIO!$E$3:$E$102,$A37,DIARIO!$K$3:$K$102,$B37,DIARIO!$B$3:$B$102,"&lt;"&amp;($B$2+1)))</f>
        <v/>
      </c>
      <c r="F37" s="25" t="str">
        <f aca="false">IF($A37="","",C37-D37-E37)</f>
        <v/>
      </c>
    </row>
    <row r="38" customFormat="false" ht="15" hidden="false" customHeight="false" outlineLevel="0" collapsed="false">
      <c r="A38" s="24" t="str">
        <f aca="false">IF(OR(T(INDEX(UBICACIONES!$A$4:$A$13,INT((ROW()-5)/5)+1))="",T(INDEX(PARÁMETROS!$A$20:$A$24,MOD(ROW()-5,5)+1))=""),"",T(INDEX(UBICACIONES!$A$4:$A$13,INT((ROW()-5)/5)+1)))</f>
        <v/>
      </c>
      <c r="B38" s="24" t="str">
        <f aca="false">IF(OR(T(INDEX(UBICACIONES!$A$4:$A$13,INT((ROW()-5)/5)+1))="",T(INDEX(PARÁMETROS!$A$20:$A$24,MOD(ROW()-5,5)+1))=""),"",T(INDEX(PARÁMETROS!$A$20:$A$24,MOD(ROW()-5,5)+1)))</f>
        <v/>
      </c>
      <c r="C38" s="25" t="str">
        <f aca="false">IF($A38="","",SUMIFS(DIARIO!$I$3:$I$102,DIARIO!$E$3:$E$102,$A38,DIARIO!$H$3:$H$102,$B38,DIARIO!$B$3:$B$102,"&lt;"&amp;($B$2+1)))</f>
        <v/>
      </c>
      <c r="D38" s="25" t="str">
        <f aca="false">IF($A38="","",SUMIFS(DIARIO!$G$3:$G$102,DIARIO!$D$3:$D$102,$A38,DIARIO!$F$3:$F$102,$B38,DIARIO!$B$3:$B$102,"&lt;"&amp;($B$2+1)))</f>
        <v/>
      </c>
      <c r="E38" s="25" t="str">
        <f aca="false">IF($A38="","",SUMIFS(DIARIO!$J$3:$J$102,DIARIO!$D$3:$D$102,$A38,DIARIO!$K$3:$K$102,$B38,DIARIO!$B$3:$B$102,"&lt;"&amp;($B$2+1))+SUMIFS(DIARIO!$J$3:$J$102,DIARIO!$D$3:$D$102,"EXTERIOR",DIARIO!$E$3:$E$102,$A38,DIARIO!$K$3:$K$102,$B38,DIARIO!$B$3:$B$102,"&lt;"&amp;($B$2+1)))</f>
        <v/>
      </c>
      <c r="F38" s="25" t="str">
        <f aca="false">IF($A38="","",C38-D38-E38)</f>
        <v/>
      </c>
    </row>
    <row r="39" customFormat="false" ht="15" hidden="false" customHeight="false" outlineLevel="0" collapsed="false">
      <c r="A39" s="24" t="str">
        <f aca="false">IF(OR(T(INDEX(UBICACIONES!$A$4:$A$13,INT((ROW()-5)/5)+1))="",T(INDEX(PARÁMETROS!$A$20:$A$24,MOD(ROW()-5,5)+1))=""),"",T(INDEX(UBICACIONES!$A$4:$A$13,INT((ROW()-5)/5)+1)))</f>
        <v/>
      </c>
      <c r="B39" s="24" t="str">
        <f aca="false">IF(OR(T(INDEX(UBICACIONES!$A$4:$A$13,INT((ROW()-5)/5)+1))="",T(INDEX(PARÁMETROS!$A$20:$A$24,MOD(ROW()-5,5)+1))=""),"",T(INDEX(PARÁMETROS!$A$20:$A$24,MOD(ROW()-5,5)+1)))</f>
        <v/>
      </c>
      <c r="C39" s="25" t="str">
        <f aca="false">IF($A39="","",SUMIFS(DIARIO!$I$3:$I$102,DIARIO!$E$3:$E$102,$A39,DIARIO!$H$3:$H$102,$B39,DIARIO!$B$3:$B$102,"&lt;"&amp;($B$2+1)))</f>
        <v/>
      </c>
      <c r="D39" s="25" t="str">
        <f aca="false">IF($A39="","",SUMIFS(DIARIO!$G$3:$G$102,DIARIO!$D$3:$D$102,$A39,DIARIO!$F$3:$F$102,$B39,DIARIO!$B$3:$B$102,"&lt;"&amp;($B$2+1)))</f>
        <v/>
      </c>
      <c r="E39" s="25" t="str">
        <f aca="false">IF($A39="","",SUMIFS(DIARIO!$J$3:$J$102,DIARIO!$D$3:$D$102,$A39,DIARIO!$K$3:$K$102,$B39,DIARIO!$B$3:$B$102,"&lt;"&amp;($B$2+1))+SUMIFS(DIARIO!$J$3:$J$102,DIARIO!$D$3:$D$102,"EXTERIOR",DIARIO!$E$3:$E$102,$A39,DIARIO!$K$3:$K$102,$B39,DIARIO!$B$3:$B$102,"&lt;"&amp;($B$2+1)))</f>
        <v/>
      </c>
      <c r="F39" s="25" t="str">
        <f aca="false">IF($A39="","",C39-D39-E39)</f>
        <v/>
      </c>
    </row>
    <row r="40" customFormat="false" ht="15" hidden="false" customHeight="false" outlineLevel="0" collapsed="false">
      <c r="A40" s="24" t="str">
        <f aca="false">IF(OR(T(INDEX(UBICACIONES!$A$4:$A$13,INT((ROW()-5)/5)+1))="",T(INDEX(PARÁMETROS!$A$20:$A$24,MOD(ROW()-5,5)+1))=""),"",T(INDEX(UBICACIONES!$A$4:$A$13,INT((ROW()-5)/5)+1)))</f>
        <v/>
      </c>
      <c r="B40" s="24" t="str">
        <f aca="false">IF(OR(T(INDEX(UBICACIONES!$A$4:$A$13,INT((ROW()-5)/5)+1))="",T(INDEX(PARÁMETROS!$A$20:$A$24,MOD(ROW()-5,5)+1))=""),"",T(INDEX(PARÁMETROS!$A$20:$A$24,MOD(ROW()-5,5)+1)))</f>
        <v/>
      </c>
      <c r="C40" s="25" t="str">
        <f aca="false">IF($A40="","",SUMIFS(DIARIO!$I$3:$I$102,DIARIO!$E$3:$E$102,$A40,DIARIO!$H$3:$H$102,$B40,DIARIO!$B$3:$B$102,"&lt;"&amp;($B$2+1)))</f>
        <v/>
      </c>
      <c r="D40" s="25" t="str">
        <f aca="false">IF($A40="","",SUMIFS(DIARIO!$G$3:$G$102,DIARIO!$D$3:$D$102,$A40,DIARIO!$F$3:$F$102,$B40,DIARIO!$B$3:$B$102,"&lt;"&amp;($B$2+1)))</f>
        <v/>
      </c>
      <c r="E40" s="25" t="str">
        <f aca="false">IF($A40="","",SUMIFS(DIARIO!$J$3:$J$102,DIARIO!$D$3:$D$102,$A40,DIARIO!$K$3:$K$102,$B40,DIARIO!$B$3:$B$102,"&lt;"&amp;($B$2+1))+SUMIFS(DIARIO!$J$3:$J$102,DIARIO!$D$3:$D$102,"EXTERIOR",DIARIO!$E$3:$E$102,$A40,DIARIO!$K$3:$K$102,$B40,DIARIO!$B$3:$B$102,"&lt;"&amp;($B$2+1)))</f>
        <v/>
      </c>
      <c r="F40" s="25" t="str">
        <f aca="false">IF($A40="","",C40-D40-E40)</f>
        <v/>
      </c>
    </row>
    <row r="41" customFormat="false" ht="15" hidden="false" customHeight="false" outlineLevel="0" collapsed="false">
      <c r="A41" s="24" t="str">
        <f aca="false">IF(OR(T(INDEX(UBICACIONES!$A$4:$A$13,INT((ROW()-5)/5)+1))="",T(INDEX(PARÁMETROS!$A$20:$A$24,MOD(ROW()-5,5)+1))=""),"",T(INDEX(UBICACIONES!$A$4:$A$13,INT((ROW()-5)/5)+1)))</f>
        <v/>
      </c>
      <c r="B41" s="24" t="str">
        <f aca="false">IF(OR(T(INDEX(UBICACIONES!$A$4:$A$13,INT((ROW()-5)/5)+1))="",T(INDEX(PARÁMETROS!$A$20:$A$24,MOD(ROW()-5,5)+1))=""),"",T(INDEX(PARÁMETROS!$A$20:$A$24,MOD(ROW()-5,5)+1)))</f>
        <v/>
      </c>
      <c r="C41" s="25" t="str">
        <f aca="false">IF($A41="","",SUMIFS(DIARIO!$I$3:$I$102,DIARIO!$E$3:$E$102,$A41,DIARIO!$H$3:$H$102,$B41,DIARIO!$B$3:$B$102,"&lt;"&amp;($B$2+1)))</f>
        <v/>
      </c>
      <c r="D41" s="25" t="str">
        <f aca="false">IF($A41="","",SUMIFS(DIARIO!$G$3:$G$102,DIARIO!$D$3:$D$102,$A41,DIARIO!$F$3:$F$102,$B41,DIARIO!$B$3:$B$102,"&lt;"&amp;($B$2+1)))</f>
        <v/>
      </c>
      <c r="E41" s="25" t="str">
        <f aca="false">IF($A41="","",SUMIFS(DIARIO!$J$3:$J$102,DIARIO!$D$3:$D$102,$A41,DIARIO!$K$3:$K$102,$B41,DIARIO!$B$3:$B$102,"&lt;"&amp;($B$2+1))+SUMIFS(DIARIO!$J$3:$J$102,DIARIO!$D$3:$D$102,"EXTERIOR",DIARIO!$E$3:$E$102,$A41,DIARIO!$K$3:$K$102,$B41,DIARIO!$B$3:$B$102,"&lt;"&amp;($B$2+1)))</f>
        <v/>
      </c>
      <c r="F41" s="25" t="str">
        <f aca="false">IF($A41="","",C41-D41-E41)</f>
        <v/>
      </c>
    </row>
    <row r="42" customFormat="false" ht="15" hidden="false" customHeight="false" outlineLevel="0" collapsed="false">
      <c r="A42" s="24" t="str">
        <f aca="false">IF(OR(T(INDEX(UBICACIONES!$A$4:$A$13,INT((ROW()-5)/5)+1))="",T(INDEX(PARÁMETROS!$A$20:$A$24,MOD(ROW()-5,5)+1))=""),"",T(INDEX(UBICACIONES!$A$4:$A$13,INT((ROW()-5)/5)+1)))</f>
        <v/>
      </c>
      <c r="B42" s="24" t="str">
        <f aca="false">IF(OR(T(INDEX(UBICACIONES!$A$4:$A$13,INT((ROW()-5)/5)+1))="",T(INDEX(PARÁMETROS!$A$20:$A$24,MOD(ROW()-5,5)+1))=""),"",T(INDEX(PARÁMETROS!$A$20:$A$24,MOD(ROW()-5,5)+1)))</f>
        <v/>
      </c>
      <c r="C42" s="25" t="str">
        <f aca="false">IF($A42="","",SUMIFS(DIARIO!$I$3:$I$102,DIARIO!$E$3:$E$102,$A42,DIARIO!$H$3:$H$102,$B42,DIARIO!$B$3:$B$102,"&lt;"&amp;($B$2+1)))</f>
        <v/>
      </c>
      <c r="D42" s="25" t="str">
        <f aca="false">IF($A42="","",SUMIFS(DIARIO!$G$3:$G$102,DIARIO!$D$3:$D$102,$A42,DIARIO!$F$3:$F$102,$B42,DIARIO!$B$3:$B$102,"&lt;"&amp;($B$2+1)))</f>
        <v/>
      </c>
      <c r="E42" s="25" t="str">
        <f aca="false">IF($A42="","",SUMIFS(DIARIO!$J$3:$J$102,DIARIO!$D$3:$D$102,$A42,DIARIO!$K$3:$K$102,$B42,DIARIO!$B$3:$B$102,"&lt;"&amp;($B$2+1))+SUMIFS(DIARIO!$J$3:$J$102,DIARIO!$D$3:$D$102,"EXTERIOR",DIARIO!$E$3:$E$102,$A42,DIARIO!$K$3:$K$102,$B42,DIARIO!$B$3:$B$102,"&lt;"&amp;($B$2+1)))</f>
        <v/>
      </c>
      <c r="F42" s="25" t="str">
        <f aca="false">IF($A42="","",C42-D42-E42)</f>
        <v/>
      </c>
    </row>
    <row r="43" customFormat="false" ht="15" hidden="false" customHeight="false" outlineLevel="0" collapsed="false">
      <c r="A43" s="24" t="str">
        <f aca="false">IF(OR(T(INDEX(UBICACIONES!$A$4:$A$13,INT((ROW()-5)/5)+1))="",T(INDEX(PARÁMETROS!$A$20:$A$24,MOD(ROW()-5,5)+1))=""),"",T(INDEX(UBICACIONES!$A$4:$A$13,INT((ROW()-5)/5)+1)))</f>
        <v/>
      </c>
      <c r="B43" s="24" t="str">
        <f aca="false">IF(OR(T(INDEX(UBICACIONES!$A$4:$A$13,INT((ROW()-5)/5)+1))="",T(INDEX(PARÁMETROS!$A$20:$A$24,MOD(ROW()-5,5)+1))=""),"",T(INDEX(PARÁMETROS!$A$20:$A$24,MOD(ROW()-5,5)+1)))</f>
        <v/>
      </c>
      <c r="C43" s="25" t="str">
        <f aca="false">IF($A43="","",SUMIFS(DIARIO!$I$3:$I$102,DIARIO!$E$3:$E$102,$A43,DIARIO!$H$3:$H$102,$B43,DIARIO!$B$3:$B$102,"&lt;"&amp;($B$2+1)))</f>
        <v/>
      </c>
      <c r="D43" s="25" t="str">
        <f aca="false">IF($A43="","",SUMIFS(DIARIO!$G$3:$G$102,DIARIO!$D$3:$D$102,$A43,DIARIO!$F$3:$F$102,$B43,DIARIO!$B$3:$B$102,"&lt;"&amp;($B$2+1)))</f>
        <v/>
      </c>
      <c r="E43" s="25" t="str">
        <f aca="false">IF($A43="","",SUMIFS(DIARIO!$J$3:$J$102,DIARIO!$D$3:$D$102,$A43,DIARIO!$K$3:$K$102,$B43,DIARIO!$B$3:$B$102,"&lt;"&amp;($B$2+1))+SUMIFS(DIARIO!$J$3:$J$102,DIARIO!$D$3:$D$102,"EXTERIOR",DIARIO!$E$3:$E$102,$A43,DIARIO!$K$3:$K$102,$B43,DIARIO!$B$3:$B$102,"&lt;"&amp;($B$2+1)))</f>
        <v/>
      </c>
      <c r="F43" s="25" t="str">
        <f aca="false">IF($A43="","",C43-D43-E43)</f>
        <v/>
      </c>
    </row>
    <row r="44" customFormat="false" ht="15" hidden="false" customHeight="false" outlineLevel="0" collapsed="false">
      <c r="A44" s="24" t="str">
        <f aca="false">IF(OR(T(INDEX(UBICACIONES!$A$4:$A$13,INT((ROW()-5)/5)+1))="",T(INDEX(PARÁMETROS!$A$20:$A$24,MOD(ROW()-5,5)+1))=""),"",T(INDEX(UBICACIONES!$A$4:$A$13,INT((ROW()-5)/5)+1)))</f>
        <v/>
      </c>
      <c r="B44" s="24" t="str">
        <f aca="false">IF(OR(T(INDEX(UBICACIONES!$A$4:$A$13,INT((ROW()-5)/5)+1))="",T(INDEX(PARÁMETROS!$A$20:$A$24,MOD(ROW()-5,5)+1))=""),"",T(INDEX(PARÁMETROS!$A$20:$A$24,MOD(ROW()-5,5)+1)))</f>
        <v/>
      </c>
      <c r="C44" s="25" t="str">
        <f aca="false">IF($A44="","",SUMIFS(DIARIO!$I$3:$I$102,DIARIO!$E$3:$E$102,$A44,DIARIO!$H$3:$H$102,$B44,DIARIO!$B$3:$B$102,"&lt;"&amp;($B$2+1)))</f>
        <v/>
      </c>
      <c r="D44" s="25" t="str">
        <f aca="false">IF($A44="","",SUMIFS(DIARIO!$G$3:$G$102,DIARIO!$D$3:$D$102,$A44,DIARIO!$F$3:$F$102,$B44,DIARIO!$B$3:$B$102,"&lt;"&amp;($B$2+1)))</f>
        <v/>
      </c>
      <c r="E44" s="25" t="str">
        <f aca="false">IF($A44="","",SUMIFS(DIARIO!$J$3:$J$102,DIARIO!$D$3:$D$102,$A44,DIARIO!$K$3:$K$102,$B44,DIARIO!$B$3:$B$102,"&lt;"&amp;($B$2+1))+SUMIFS(DIARIO!$J$3:$J$102,DIARIO!$D$3:$D$102,"EXTERIOR",DIARIO!$E$3:$E$102,$A44,DIARIO!$K$3:$K$102,$B44,DIARIO!$B$3:$B$102,"&lt;"&amp;($B$2+1)))</f>
        <v/>
      </c>
      <c r="F44" s="25" t="str">
        <f aca="false">IF($A44="","",C44-D44-E44)</f>
        <v/>
      </c>
    </row>
    <row r="45" customFormat="false" ht="15" hidden="false" customHeight="false" outlineLevel="0" collapsed="false">
      <c r="A45" s="24" t="str">
        <f aca="false">IF(OR(T(INDEX(UBICACIONES!$A$4:$A$13,INT((ROW()-5)/5)+1))="",T(INDEX(PARÁMETROS!$A$20:$A$24,MOD(ROW()-5,5)+1))=""),"",T(INDEX(UBICACIONES!$A$4:$A$13,INT((ROW()-5)/5)+1)))</f>
        <v/>
      </c>
      <c r="B45" s="24" t="str">
        <f aca="false">IF(OR(T(INDEX(UBICACIONES!$A$4:$A$13,INT((ROW()-5)/5)+1))="",T(INDEX(PARÁMETROS!$A$20:$A$24,MOD(ROW()-5,5)+1))=""),"",T(INDEX(PARÁMETROS!$A$20:$A$24,MOD(ROW()-5,5)+1)))</f>
        <v/>
      </c>
      <c r="C45" s="25" t="str">
        <f aca="false">IF($A45="","",SUMIFS(DIARIO!$I$3:$I$102,DIARIO!$E$3:$E$102,$A45,DIARIO!$H$3:$H$102,$B45,DIARIO!$B$3:$B$102,"&lt;"&amp;($B$2+1)))</f>
        <v/>
      </c>
      <c r="D45" s="25" t="str">
        <f aca="false">IF($A45="","",SUMIFS(DIARIO!$G$3:$G$102,DIARIO!$D$3:$D$102,$A45,DIARIO!$F$3:$F$102,$B45,DIARIO!$B$3:$B$102,"&lt;"&amp;($B$2+1)))</f>
        <v/>
      </c>
      <c r="E45" s="25" t="str">
        <f aca="false">IF($A45="","",SUMIFS(DIARIO!$J$3:$J$102,DIARIO!$D$3:$D$102,$A45,DIARIO!$K$3:$K$102,$B45,DIARIO!$B$3:$B$102,"&lt;"&amp;($B$2+1))+SUMIFS(DIARIO!$J$3:$J$102,DIARIO!$D$3:$D$102,"EXTERIOR",DIARIO!$E$3:$E$102,$A45,DIARIO!$K$3:$K$102,$B45,DIARIO!$B$3:$B$102,"&lt;"&amp;($B$2+1)))</f>
        <v/>
      </c>
      <c r="F45" s="25" t="str">
        <f aca="false">IF($A45="","",C45-D45-E45)</f>
        <v/>
      </c>
    </row>
    <row r="46" customFormat="false" ht="15" hidden="false" customHeight="false" outlineLevel="0" collapsed="false">
      <c r="A46" s="24" t="str">
        <f aca="false">IF(OR(T(INDEX(UBICACIONES!$A$4:$A$13,INT((ROW()-5)/5)+1))="",T(INDEX(PARÁMETROS!$A$20:$A$24,MOD(ROW()-5,5)+1))=""),"",T(INDEX(UBICACIONES!$A$4:$A$13,INT((ROW()-5)/5)+1)))</f>
        <v/>
      </c>
      <c r="B46" s="24" t="str">
        <f aca="false">IF(OR(T(INDEX(UBICACIONES!$A$4:$A$13,INT((ROW()-5)/5)+1))="",T(INDEX(PARÁMETROS!$A$20:$A$24,MOD(ROW()-5,5)+1))=""),"",T(INDEX(PARÁMETROS!$A$20:$A$24,MOD(ROW()-5,5)+1)))</f>
        <v/>
      </c>
      <c r="C46" s="25" t="str">
        <f aca="false">IF($A46="","",SUMIFS(DIARIO!$I$3:$I$102,DIARIO!$E$3:$E$102,$A46,DIARIO!$H$3:$H$102,$B46,DIARIO!$B$3:$B$102,"&lt;"&amp;($B$2+1)))</f>
        <v/>
      </c>
      <c r="D46" s="25" t="str">
        <f aca="false">IF($A46="","",SUMIFS(DIARIO!$G$3:$G$102,DIARIO!$D$3:$D$102,$A46,DIARIO!$F$3:$F$102,$B46,DIARIO!$B$3:$B$102,"&lt;"&amp;($B$2+1)))</f>
        <v/>
      </c>
      <c r="E46" s="25" t="str">
        <f aca="false">IF($A46="","",SUMIFS(DIARIO!$J$3:$J$102,DIARIO!$D$3:$D$102,$A46,DIARIO!$K$3:$K$102,$B46,DIARIO!$B$3:$B$102,"&lt;"&amp;($B$2+1))+SUMIFS(DIARIO!$J$3:$J$102,DIARIO!$D$3:$D$102,"EXTERIOR",DIARIO!$E$3:$E$102,$A46,DIARIO!$K$3:$K$102,$B46,DIARIO!$B$3:$B$102,"&lt;"&amp;($B$2+1)))</f>
        <v/>
      </c>
      <c r="F46" s="25" t="str">
        <f aca="false">IF($A46="","",C46-D46-E46)</f>
        <v/>
      </c>
    </row>
    <row r="47" customFormat="false" ht="15" hidden="false" customHeight="false" outlineLevel="0" collapsed="false">
      <c r="A47" s="24" t="str">
        <f aca="false">IF(OR(T(INDEX(UBICACIONES!$A$4:$A$13,INT((ROW()-5)/5)+1))="",T(INDEX(PARÁMETROS!$A$20:$A$24,MOD(ROW()-5,5)+1))=""),"",T(INDEX(UBICACIONES!$A$4:$A$13,INT((ROW()-5)/5)+1)))</f>
        <v/>
      </c>
      <c r="B47" s="24" t="str">
        <f aca="false">IF(OR(T(INDEX(UBICACIONES!$A$4:$A$13,INT((ROW()-5)/5)+1))="",T(INDEX(PARÁMETROS!$A$20:$A$24,MOD(ROW()-5,5)+1))=""),"",T(INDEX(PARÁMETROS!$A$20:$A$24,MOD(ROW()-5,5)+1)))</f>
        <v/>
      </c>
      <c r="C47" s="25" t="str">
        <f aca="false">IF($A47="","",SUMIFS(DIARIO!$I$3:$I$102,DIARIO!$E$3:$E$102,$A47,DIARIO!$H$3:$H$102,$B47,DIARIO!$B$3:$B$102,"&lt;"&amp;($B$2+1)))</f>
        <v/>
      </c>
      <c r="D47" s="25" t="str">
        <f aca="false">IF($A47="","",SUMIFS(DIARIO!$G$3:$G$102,DIARIO!$D$3:$D$102,$A47,DIARIO!$F$3:$F$102,$B47,DIARIO!$B$3:$B$102,"&lt;"&amp;($B$2+1)))</f>
        <v/>
      </c>
      <c r="E47" s="25" t="str">
        <f aca="false">IF($A47="","",SUMIFS(DIARIO!$J$3:$J$102,DIARIO!$D$3:$D$102,$A47,DIARIO!$K$3:$K$102,$B47,DIARIO!$B$3:$B$102,"&lt;"&amp;($B$2+1))+SUMIFS(DIARIO!$J$3:$J$102,DIARIO!$D$3:$D$102,"EXTERIOR",DIARIO!$E$3:$E$102,$A47,DIARIO!$K$3:$K$102,$B47,DIARIO!$B$3:$B$102,"&lt;"&amp;($B$2+1)))</f>
        <v/>
      </c>
      <c r="F47" s="25" t="str">
        <f aca="false">IF($A47="","",C47-D47-E47)</f>
        <v/>
      </c>
    </row>
    <row r="48" customFormat="false" ht="15" hidden="false" customHeight="false" outlineLevel="0" collapsed="false">
      <c r="A48" s="24" t="str">
        <f aca="false">IF(OR(T(INDEX(UBICACIONES!$A$4:$A$13,INT((ROW()-5)/5)+1))="",T(INDEX(PARÁMETROS!$A$20:$A$24,MOD(ROW()-5,5)+1))=""),"",T(INDEX(UBICACIONES!$A$4:$A$13,INT((ROW()-5)/5)+1)))</f>
        <v/>
      </c>
      <c r="B48" s="24" t="str">
        <f aca="false">IF(OR(T(INDEX(UBICACIONES!$A$4:$A$13,INT((ROW()-5)/5)+1))="",T(INDEX(PARÁMETROS!$A$20:$A$24,MOD(ROW()-5,5)+1))=""),"",T(INDEX(PARÁMETROS!$A$20:$A$24,MOD(ROW()-5,5)+1)))</f>
        <v/>
      </c>
      <c r="C48" s="25" t="str">
        <f aca="false">IF($A48="","",SUMIFS(DIARIO!$I$3:$I$102,DIARIO!$E$3:$E$102,$A48,DIARIO!$H$3:$H$102,$B48,DIARIO!$B$3:$B$102,"&lt;"&amp;($B$2+1)))</f>
        <v/>
      </c>
      <c r="D48" s="25" t="str">
        <f aca="false">IF($A48="","",SUMIFS(DIARIO!$G$3:$G$102,DIARIO!$D$3:$D$102,$A48,DIARIO!$F$3:$F$102,$B48,DIARIO!$B$3:$B$102,"&lt;"&amp;($B$2+1)))</f>
        <v/>
      </c>
      <c r="E48" s="25" t="str">
        <f aca="false">IF($A48="","",SUMIFS(DIARIO!$J$3:$J$102,DIARIO!$D$3:$D$102,$A48,DIARIO!$K$3:$K$102,$B48,DIARIO!$B$3:$B$102,"&lt;"&amp;($B$2+1))+SUMIFS(DIARIO!$J$3:$J$102,DIARIO!$D$3:$D$102,"EXTERIOR",DIARIO!$E$3:$E$102,$A48,DIARIO!$K$3:$K$102,$B48,DIARIO!$B$3:$B$102,"&lt;"&amp;($B$2+1)))</f>
        <v/>
      </c>
      <c r="F48" s="25" t="str">
        <f aca="false">IF($A48="","",C48-D48-E48)</f>
        <v/>
      </c>
    </row>
    <row r="49" customFormat="false" ht="15" hidden="false" customHeight="false" outlineLevel="0" collapsed="false">
      <c r="A49" s="24" t="str">
        <f aca="false">IF(OR(T(INDEX(UBICACIONES!$A$4:$A$13,INT((ROW()-5)/5)+1))="",T(INDEX(PARÁMETROS!$A$20:$A$24,MOD(ROW()-5,5)+1))=""),"",T(INDEX(UBICACIONES!$A$4:$A$13,INT((ROW()-5)/5)+1)))</f>
        <v/>
      </c>
      <c r="B49" s="24" t="str">
        <f aca="false">IF(OR(T(INDEX(UBICACIONES!$A$4:$A$13,INT((ROW()-5)/5)+1))="",T(INDEX(PARÁMETROS!$A$20:$A$24,MOD(ROW()-5,5)+1))=""),"",T(INDEX(PARÁMETROS!$A$20:$A$24,MOD(ROW()-5,5)+1)))</f>
        <v/>
      </c>
      <c r="C49" s="25" t="str">
        <f aca="false">IF($A49="","",SUMIFS(DIARIO!$I$3:$I$102,DIARIO!$E$3:$E$102,$A49,DIARIO!$H$3:$H$102,$B49,DIARIO!$B$3:$B$102,"&lt;"&amp;($B$2+1)))</f>
        <v/>
      </c>
      <c r="D49" s="25" t="str">
        <f aca="false">IF($A49="","",SUMIFS(DIARIO!$G$3:$G$102,DIARIO!$D$3:$D$102,$A49,DIARIO!$F$3:$F$102,$B49,DIARIO!$B$3:$B$102,"&lt;"&amp;($B$2+1)))</f>
        <v/>
      </c>
      <c r="E49" s="25" t="str">
        <f aca="false">IF($A49="","",SUMIFS(DIARIO!$J$3:$J$102,DIARIO!$D$3:$D$102,$A49,DIARIO!$K$3:$K$102,$B49,DIARIO!$B$3:$B$102,"&lt;"&amp;($B$2+1))+SUMIFS(DIARIO!$J$3:$J$102,DIARIO!$D$3:$D$102,"EXTERIOR",DIARIO!$E$3:$E$102,$A49,DIARIO!$K$3:$K$102,$B49,DIARIO!$B$3:$B$102,"&lt;"&amp;($B$2+1)))</f>
        <v/>
      </c>
      <c r="F49" s="25" t="str">
        <f aca="false">IF($A49="","",C49-D49-E49)</f>
        <v/>
      </c>
    </row>
    <row r="50" customFormat="false" ht="15" hidden="false" customHeight="false" outlineLevel="0" collapsed="false">
      <c r="A50" s="24" t="str">
        <f aca="false">IF(OR(T(INDEX(UBICACIONES!$A$4:$A$13,INT((ROW()-5)/5)+1))="",T(INDEX(PARÁMETROS!$A$20:$A$24,MOD(ROW()-5,5)+1))=""),"",T(INDEX(UBICACIONES!$A$4:$A$13,INT((ROW()-5)/5)+1)))</f>
        <v/>
      </c>
      <c r="B50" s="24" t="str">
        <f aca="false">IF(OR(T(INDEX(UBICACIONES!$A$4:$A$13,INT((ROW()-5)/5)+1))="",T(INDEX(PARÁMETROS!$A$20:$A$24,MOD(ROW()-5,5)+1))=""),"",T(INDEX(PARÁMETROS!$A$20:$A$24,MOD(ROW()-5,5)+1)))</f>
        <v/>
      </c>
      <c r="C50" s="25" t="str">
        <f aca="false">IF($A50="","",SUMIFS(DIARIO!$I$3:$I$102,DIARIO!$E$3:$E$102,$A50,DIARIO!$H$3:$H$102,$B50,DIARIO!$B$3:$B$102,"&lt;"&amp;($B$2+1)))</f>
        <v/>
      </c>
      <c r="D50" s="25" t="str">
        <f aca="false">IF($A50="","",SUMIFS(DIARIO!$G$3:$G$102,DIARIO!$D$3:$D$102,$A50,DIARIO!$F$3:$F$102,$B50,DIARIO!$B$3:$B$102,"&lt;"&amp;($B$2+1)))</f>
        <v/>
      </c>
      <c r="E50" s="25" t="str">
        <f aca="false">IF($A50="","",SUMIFS(DIARIO!$J$3:$J$102,DIARIO!$D$3:$D$102,$A50,DIARIO!$K$3:$K$102,$B50,DIARIO!$B$3:$B$102,"&lt;"&amp;($B$2+1))+SUMIFS(DIARIO!$J$3:$J$102,DIARIO!$D$3:$D$102,"EXTERIOR",DIARIO!$E$3:$E$102,$A50,DIARIO!$K$3:$K$102,$B50,DIARIO!$B$3:$B$102,"&lt;"&amp;($B$2+1)))</f>
        <v/>
      </c>
      <c r="F50" s="25" t="str">
        <f aca="false">IF($A50="","",C50-D50-E50)</f>
        <v/>
      </c>
    </row>
    <row r="51" customFormat="false" ht="15" hidden="false" customHeight="false" outlineLevel="0" collapsed="false">
      <c r="A51" s="24" t="str">
        <f aca="false">IF(OR(T(INDEX(UBICACIONES!$A$4:$A$13,INT((ROW()-5)/5)+1))="",T(INDEX(PARÁMETROS!$A$20:$A$24,MOD(ROW()-5,5)+1))=""),"",T(INDEX(UBICACIONES!$A$4:$A$13,INT((ROW()-5)/5)+1)))</f>
        <v/>
      </c>
      <c r="B51" s="24" t="str">
        <f aca="false">IF(OR(T(INDEX(UBICACIONES!$A$4:$A$13,INT((ROW()-5)/5)+1))="",T(INDEX(PARÁMETROS!$A$20:$A$24,MOD(ROW()-5,5)+1))=""),"",T(INDEX(PARÁMETROS!$A$20:$A$24,MOD(ROW()-5,5)+1)))</f>
        <v/>
      </c>
      <c r="C51" s="25" t="str">
        <f aca="false">IF($A51="","",SUMIFS(DIARIO!$I$3:$I$102,DIARIO!$E$3:$E$102,$A51,DIARIO!$H$3:$H$102,$B51,DIARIO!$B$3:$B$102,"&lt;"&amp;($B$2+1)))</f>
        <v/>
      </c>
      <c r="D51" s="25" t="str">
        <f aca="false">IF($A51="","",SUMIFS(DIARIO!$G$3:$G$102,DIARIO!$D$3:$D$102,$A51,DIARIO!$F$3:$F$102,$B51,DIARIO!$B$3:$B$102,"&lt;"&amp;($B$2+1)))</f>
        <v/>
      </c>
      <c r="E51" s="25" t="str">
        <f aca="false">IF($A51="","",SUMIFS(DIARIO!$J$3:$J$102,DIARIO!$D$3:$D$102,$A51,DIARIO!$K$3:$K$102,$B51,DIARIO!$B$3:$B$102,"&lt;"&amp;($B$2+1))+SUMIFS(DIARIO!$J$3:$J$102,DIARIO!$D$3:$D$102,"EXTERIOR",DIARIO!$E$3:$E$102,$A51,DIARIO!$K$3:$K$102,$B51,DIARIO!$B$3:$B$102,"&lt;"&amp;($B$2+1)))</f>
        <v/>
      </c>
      <c r="F51" s="25" t="str">
        <f aca="false">IF($A51="","",C51-D51-E51)</f>
        <v/>
      </c>
    </row>
    <row r="52" customFormat="false" ht="15" hidden="false" customHeight="false" outlineLevel="0" collapsed="false">
      <c r="A52" s="24" t="str">
        <f aca="false">IF(OR(T(INDEX(UBICACIONES!$A$4:$A$13,INT((ROW()-5)/5)+1))="",T(INDEX(PARÁMETROS!$A$20:$A$24,MOD(ROW()-5,5)+1))=""),"",T(INDEX(UBICACIONES!$A$4:$A$13,INT((ROW()-5)/5)+1)))</f>
        <v/>
      </c>
      <c r="B52" s="24" t="str">
        <f aca="false">IF(OR(T(INDEX(UBICACIONES!$A$4:$A$13,INT((ROW()-5)/5)+1))="",T(INDEX(PARÁMETROS!$A$20:$A$24,MOD(ROW()-5,5)+1))=""),"",T(INDEX(PARÁMETROS!$A$20:$A$24,MOD(ROW()-5,5)+1)))</f>
        <v/>
      </c>
      <c r="C52" s="25" t="str">
        <f aca="false">IF($A52="","",SUMIFS(DIARIO!$I$3:$I$102,DIARIO!$E$3:$E$102,$A52,DIARIO!$H$3:$H$102,$B52,DIARIO!$B$3:$B$102,"&lt;"&amp;($B$2+1)))</f>
        <v/>
      </c>
      <c r="D52" s="25" t="str">
        <f aca="false">IF($A52="","",SUMIFS(DIARIO!$G$3:$G$102,DIARIO!$D$3:$D$102,$A52,DIARIO!$F$3:$F$102,$B52,DIARIO!$B$3:$B$102,"&lt;"&amp;($B$2+1)))</f>
        <v/>
      </c>
      <c r="E52" s="25" t="str">
        <f aca="false">IF($A52="","",SUMIFS(DIARIO!$J$3:$J$102,DIARIO!$D$3:$D$102,$A52,DIARIO!$K$3:$K$102,$B52,DIARIO!$B$3:$B$102,"&lt;"&amp;($B$2+1))+SUMIFS(DIARIO!$J$3:$J$102,DIARIO!$D$3:$D$102,"EXTERIOR",DIARIO!$E$3:$E$102,$A52,DIARIO!$K$3:$K$102,$B52,DIARIO!$B$3:$B$102,"&lt;"&amp;($B$2+1)))</f>
        <v/>
      </c>
      <c r="F52" s="25" t="str">
        <f aca="false">IF($A52="","",C52-D52-E52)</f>
        <v/>
      </c>
    </row>
    <row r="53" customFormat="false" ht="15" hidden="false" customHeight="false" outlineLevel="0" collapsed="false">
      <c r="A53" s="24" t="str">
        <f aca="false">IF(OR(T(INDEX(UBICACIONES!$A$4:$A$13,INT((ROW()-5)/5)+1))="",T(INDEX(PARÁMETROS!$A$20:$A$24,MOD(ROW()-5,5)+1))=""),"",T(INDEX(UBICACIONES!$A$4:$A$13,INT((ROW()-5)/5)+1)))</f>
        <v/>
      </c>
      <c r="B53" s="24" t="str">
        <f aca="false">IF(OR(T(INDEX(UBICACIONES!$A$4:$A$13,INT((ROW()-5)/5)+1))="",T(INDEX(PARÁMETROS!$A$20:$A$24,MOD(ROW()-5,5)+1))=""),"",T(INDEX(PARÁMETROS!$A$20:$A$24,MOD(ROW()-5,5)+1)))</f>
        <v/>
      </c>
      <c r="C53" s="25" t="str">
        <f aca="false">IF($A53="","",SUMIFS(DIARIO!$I$3:$I$102,DIARIO!$E$3:$E$102,$A53,DIARIO!$H$3:$H$102,$B53,DIARIO!$B$3:$B$102,"&lt;"&amp;($B$2+1)))</f>
        <v/>
      </c>
      <c r="D53" s="25" t="str">
        <f aca="false">IF($A53="","",SUMIFS(DIARIO!$G$3:$G$102,DIARIO!$D$3:$D$102,$A53,DIARIO!$F$3:$F$102,$B53,DIARIO!$B$3:$B$102,"&lt;"&amp;($B$2+1)))</f>
        <v/>
      </c>
      <c r="E53" s="25" t="str">
        <f aca="false">IF($A53="","",SUMIFS(DIARIO!$J$3:$J$102,DIARIO!$D$3:$D$102,$A53,DIARIO!$K$3:$K$102,$B53,DIARIO!$B$3:$B$102,"&lt;"&amp;($B$2+1))+SUMIFS(DIARIO!$J$3:$J$102,DIARIO!$D$3:$D$102,"EXTERIOR",DIARIO!$E$3:$E$102,$A53,DIARIO!$K$3:$K$102,$B53,DIARIO!$B$3:$B$102,"&lt;"&amp;($B$2+1)))</f>
        <v/>
      </c>
      <c r="F53" s="25" t="str">
        <f aca="false">IF($A53="","",C53-D53-E53)</f>
        <v/>
      </c>
    </row>
    <row r="54" customFormat="false" ht="15" hidden="false" customHeight="false" outlineLevel="0" collapsed="false">
      <c r="A54" s="24" t="str">
        <f aca="false">IF(OR(T(INDEX(UBICACIONES!$A$4:$A$13,INT((ROW()-5)/5)+1))="",T(INDEX(PARÁMETROS!$A$20:$A$24,MOD(ROW()-5,5)+1))=""),"",T(INDEX(UBICACIONES!$A$4:$A$13,INT((ROW()-5)/5)+1)))</f>
        <v/>
      </c>
      <c r="B54" s="24" t="str">
        <f aca="false">IF(OR(T(INDEX(UBICACIONES!$A$4:$A$13,INT((ROW()-5)/5)+1))="",T(INDEX(PARÁMETROS!$A$20:$A$24,MOD(ROW()-5,5)+1))=""),"",T(INDEX(PARÁMETROS!$A$20:$A$24,MOD(ROW()-5,5)+1)))</f>
        <v/>
      </c>
      <c r="C54" s="25" t="str">
        <f aca="false">IF($A54="","",SUMIFS(DIARIO!$I$3:$I$102,DIARIO!$E$3:$E$102,$A54,DIARIO!$H$3:$H$102,$B54,DIARIO!$B$3:$B$102,"&lt;"&amp;($B$2+1)))</f>
        <v/>
      </c>
      <c r="D54" s="25" t="str">
        <f aca="false">IF($A54="","",SUMIFS(DIARIO!$G$3:$G$102,DIARIO!$D$3:$D$102,$A54,DIARIO!$F$3:$F$102,$B54,DIARIO!$B$3:$B$102,"&lt;"&amp;($B$2+1)))</f>
        <v/>
      </c>
      <c r="E54" s="25" t="str">
        <f aca="false">IF($A54="","",SUMIFS(DIARIO!$J$3:$J$102,DIARIO!$D$3:$D$102,$A54,DIARIO!$K$3:$K$102,$B54,DIARIO!$B$3:$B$102,"&lt;"&amp;($B$2+1))+SUMIFS(DIARIO!$J$3:$J$102,DIARIO!$D$3:$D$102,"EXTERIOR",DIARIO!$E$3:$E$102,$A54,DIARIO!$K$3:$K$102,$B54,DIARIO!$B$3:$B$102,"&lt;"&amp;($B$2+1)))</f>
        <v/>
      </c>
      <c r="F54" s="25" t="str">
        <f aca="false">IF($A54="","",C54-D54-E54)</f>
        <v/>
      </c>
    </row>
  </sheetData>
  <mergeCells count="1">
    <mergeCell ref="A1:F1"/>
  </mergeCells>
  <conditionalFormatting sqref="F5:F54">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U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3"/>
    <col collapsed="false" customWidth="true" hidden="false" outlineLevel="0" max="4" min="4" style="0" width="14"/>
    <col collapsed="false" customWidth="true" hidden="false" outlineLevel="0" max="5" min="5" style="0" width="15"/>
    <col collapsed="false" customWidth="true" hidden="false" outlineLevel="0" max="8" min="6" style="0" width="13"/>
    <col collapsed="false" customWidth="true" hidden="false" outlineLevel="0" max="9" min="9" style="0" width="2"/>
    <col collapsed="false" customWidth="true" hidden="false" outlineLevel="0" max="10" min="10" style="0" width="10"/>
    <col collapsed="false" customWidth="true" hidden="false" outlineLevel="0" max="11" min="11" style="0" width="16"/>
    <col collapsed="false" customWidth="true" hidden="false" outlineLevel="0" max="12" min="12" style="0" width="13"/>
    <col collapsed="false" customWidth="true" hidden="false" outlineLevel="0" max="13" min="13" style="0" width="15"/>
    <col collapsed="false" customWidth="true" hidden="false" outlineLevel="0" max="14" min="14" style="0" width="14"/>
    <col collapsed="false" customWidth="true" hidden="false" outlineLevel="0" max="15" min="15" style="0" width="17"/>
    <col collapsed="false" customWidth="true" hidden="false" outlineLevel="0" max="16" min="16" style="0" width="16"/>
    <col collapsed="false" customWidth="true" hidden="false" outlineLevel="0" max="17" min="17" style="0" width="2"/>
    <col collapsed="false" customWidth="true" hidden="false" outlineLevel="0" max="19" min="18" style="0" width="9"/>
    <col collapsed="false" customWidth="true" hidden="false" outlineLevel="0" max="21" min="20" style="0" width="11"/>
  </cols>
  <sheetData>
    <row r="1" customFormat="false" ht="24" hidden="false" customHeight="true" outlineLevel="0" collapsed="false">
      <c r="A1" s="1" t="s">
        <v>151</v>
      </c>
      <c r="B1" s="1"/>
      <c r="C1" s="1"/>
      <c r="D1" s="1"/>
      <c r="E1" s="1"/>
      <c r="F1" s="1"/>
      <c r="G1" s="1"/>
      <c r="H1" s="1"/>
      <c r="I1" s="1"/>
      <c r="J1" s="1"/>
      <c r="K1" s="1"/>
      <c r="L1" s="1"/>
      <c r="M1" s="1"/>
      <c r="N1" s="1"/>
      <c r="O1" s="1"/>
      <c r="P1" s="1"/>
    </row>
    <row r="2" customFormat="false" ht="15" hidden="false" customHeight="false" outlineLevel="0" collapsed="false">
      <c r="A2" s="20" t="s">
        <v>152</v>
      </c>
      <c r="B2" s="26" t="s">
        <v>49</v>
      </c>
      <c r="C2" s="11" t="s">
        <v>153</v>
      </c>
    </row>
    <row r="3" customFormat="false" ht="15" hidden="false" customHeight="false" outlineLevel="0" collapsed="false">
      <c r="A3" s="11" t="s">
        <v>154</v>
      </c>
    </row>
    <row r="4" customFormat="false" ht="15" hidden="false" customHeight="false" outlineLevel="0" collapsed="false">
      <c r="A4" s="2" t="s">
        <v>155</v>
      </c>
      <c r="B4" s="27" t="n">
        <f aca="false">SUM($C$7:$C$106)</f>
        <v>0.55</v>
      </c>
      <c r="D4" s="28" t="s">
        <v>156</v>
      </c>
      <c r="E4" s="27" t="n">
        <f aca="false">SUM($L$7:$L$106)</f>
        <v>0</v>
      </c>
      <c r="F4" s="2" t="s">
        <v>157</v>
      </c>
      <c r="G4" s="27" t="n">
        <f aca="false">B4-E4</f>
        <v>0.55</v>
      </c>
      <c r="J4" s="2" t="s">
        <v>158</v>
      </c>
      <c r="L4" s="29" t="n">
        <f aca="false">SUM($D$7:$D$106)-SUM($N$7:$N$106)</f>
        <v>20160</v>
      </c>
      <c r="N4" s="28" t="s">
        <v>159</v>
      </c>
      <c r="P4" s="29" t="n">
        <f aca="false">SUM($P$7:$P$106)</f>
        <v>0</v>
      </c>
    </row>
    <row r="5" customFormat="false" ht="15" hidden="false" customHeight="true" outlineLevel="0" collapsed="false">
      <c r="A5" s="30" t="s">
        <v>160</v>
      </c>
      <c r="B5" s="30"/>
      <c r="C5" s="30"/>
      <c r="D5" s="30"/>
      <c r="E5" s="30"/>
      <c r="F5" s="30"/>
      <c r="G5" s="30"/>
      <c r="H5" s="30"/>
      <c r="J5" s="31" t="s">
        <v>161</v>
      </c>
      <c r="K5" s="31"/>
      <c r="L5" s="31"/>
      <c r="M5" s="31"/>
      <c r="N5" s="31"/>
      <c r="O5" s="31"/>
      <c r="P5" s="31"/>
      <c r="R5" s="32" t="s">
        <v>162</v>
      </c>
      <c r="S5" s="32"/>
      <c r="T5" s="32"/>
      <c r="U5" s="32"/>
    </row>
    <row r="6" customFormat="false" ht="27.75" hidden="false" customHeight="true" outlineLevel="0" collapsed="false">
      <c r="A6" s="12" t="s">
        <v>163</v>
      </c>
      <c r="B6" s="12" t="s">
        <v>164</v>
      </c>
      <c r="C6" s="12" t="s">
        <v>44</v>
      </c>
      <c r="D6" s="12" t="s">
        <v>165</v>
      </c>
      <c r="E6" s="12" t="s">
        <v>166</v>
      </c>
      <c r="F6" s="12" t="s">
        <v>167</v>
      </c>
      <c r="G6" s="12" t="s">
        <v>168</v>
      </c>
      <c r="H6" s="12" t="s">
        <v>169</v>
      </c>
      <c r="J6" s="12" t="s">
        <v>163</v>
      </c>
      <c r="K6" s="12" t="s">
        <v>164</v>
      </c>
      <c r="L6" s="12" t="s">
        <v>44</v>
      </c>
      <c r="M6" s="12" t="s">
        <v>170</v>
      </c>
      <c r="N6" s="12" t="s">
        <v>171</v>
      </c>
      <c r="O6" s="12" t="s">
        <v>172</v>
      </c>
      <c r="P6" s="12" t="s">
        <v>173</v>
      </c>
      <c r="R6" s="12" t="s">
        <v>174</v>
      </c>
      <c r="S6" s="12" t="s">
        <v>175</v>
      </c>
      <c r="T6" s="12" t="s">
        <v>176</v>
      </c>
      <c r="U6" s="12" t="s">
        <v>177</v>
      </c>
    </row>
    <row r="7" customFormat="false" ht="15" hidden="false" customHeight="false" outlineLevel="0" collapsed="false">
      <c r="A7" s="24" t="str">
        <f aca="false">IF($C7=0,"",DIARIO!$A3)</f>
        <v>2026-001</v>
      </c>
      <c r="B7" s="33" t="n">
        <f aca="false">IF($C7=0,"",DIARIO!$B3)</f>
        <v>46038.4451388889</v>
      </c>
      <c r="C7" s="34" t="n">
        <f aca="false">IF(AND($R7="Sí",DIARIO!$H3=$B$2),N(DIARIO!$I3),0)</f>
        <v>0.5</v>
      </c>
      <c r="D7" s="35" t="n">
        <f aca="false">IF($C7=0,0,N(DIARIO!$L3)+IF(DIARIO!$K3="EUR",N(DIARIO!$J3),0))</f>
        <v>20030</v>
      </c>
      <c r="E7" s="35" t="n">
        <f aca="false">IF($C7=0,0,$D7/$C7)</f>
        <v>40060</v>
      </c>
      <c r="F7" s="36" t="n">
        <f aca="false">IF($C7=0,"",$T7)</f>
        <v>0.5</v>
      </c>
      <c r="G7" s="36" t="n">
        <f aca="false">IF($C7=0,"",MAX(0,MIN($C7,$E$4-($T7-$C7))))</f>
        <v>0</v>
      </c>
      <c r="H7" s="36" t="n">
        <f aca="false">IF($C7=0,"",$C7-$G7)</f>
        <v>0.5</v>
      </c>
      <c r="J7" s="24" t="str">
        <f aca="false">IF($L7=0,"",DIARIO!$A3)</f>
        <v/>
      </c>
      <c r="K7" s="33" t="str">
        <f aca="false">IF($L7=0,"",DIARIO!$B3)</f>
        <v/>
      </c>
      <c r="L7" s="34" t="n">
        <f aca="false">IF(AND($S7="Sí",DIARIO!$F3=$B$2),N(DIARIO!$G3),0)</f>
        <v>0</v>
      </c>
      <c r="M7" s="36" t="str">
        <f aca="false">IF($L7=0,"",$U7)</f>
        <v/>
      </c>
      <c r="N7" s="37" t="str">
        <f aca="false">IF($L7=0,"",SUMPRODUCT($E$7:$E$106*((((($U7-($T$7:$T$106-$C$7:$C$106))+ABS(($U7-($T$7:$T$106-$C$7:$C$106))))/2)+$C$7:$C$106-ABS(((($U7-($T$7:$T$106-$C$7:$C$106))+ABS(($U7-($T$7:$T$106-$C$7:$C$106))))/2)-$C$7:$C$106))/2))-SUMPRODUCT($E$7:$E$106*(((((($U7-$L7)-($T$7:$T$106-$C$7:$C$106))+ABS((($U7-$L7)-($T$7:$T$106-$C$7:$C$106))))/2)+$C$7:$C$106-ABS((((($U7-$L7)-($T$7:$T$106-$C$7:$C$106))+ABS((($U7-$L7)-($T$7:$T$106-$C$7:$C$106))))/2)-$C$7:$C$106))/2)))</f>
        <v/>
      </c>
      <c r="O7" s="37" t="str">
        <f aca="false">IF($L7=0,"",N(DIARIO!$L3)-IF(DIARIO!$K3="EUR",N(DIARIO!$J3),0))</f>
        <v/>
      </c>
      <c r="P7" s="37" t="str">
        <f aca="false">IF($L7=0,"",$O7-$N7)</f>
        <v/>
      </c>
      <c r="R7" s="38" t="str">
        <f aca="false">IF(DIARIO!$C3="","",IFERROR(INDEX(PARÁMETROS!$D$5:$D$15,MATCH(DIARIO!$C3,PARÁMETROS!$A$5:$A$15,0)),""))</f>
        <v>Sí</v>
      </c>
      <c r="S7" s="38" t="str">
        <f aca="false">IF(DIARIO!$C3="","",IFERROR(INDEX(PARÁMETROS!$E$5:$E$15,MATCH(DIARIO!$C3,PARÁMETROS!$A$5:$A$15,0)),""))</f>
        <v>No</v>
      </c>
      <c r="T7" s="39" t="n">
        <f aca="false">SUM($C$7:$C7)</f>
        <v>0.5</v>
      </c>
      <c r="U7" s="39" t="n">
        <f aca="false">SUM($L$7:$L7)</f>
        <v>0</v>
      </c>
    </row>
    <row r="8" customFormat="false" ht="15" hidden="false" customHeight="false" outlineLevel="0" collapsed="false">
      <c r="A8" s="24" t="str">
        <f aca="false">IF($C8=0,"",DIARIO!$A4)</f>
        <v/>
      </c>
      <c r="B8" s="33" t="str">
        <f aca="false">IF($C8=0,"",DIARIO!$B4)</f>
        <v/>
      </c>
      <c r="C8" s="34" t="n">
        <f aca="false">IF(AND($R8="Sí",DIARIO!$H4=$B$2),N(DIARIO!$I4),0)</f>
        <v>0</v>
      </c>
      <c r="D8" s="35" t="n">
        <f aca="false">IF($C8=0,0,N(DIARIO!$L4)+IF(DIARIO!$K4="EUR",N(DIARIO!$J4),0))</f>
        <v>0</v>
      </c>
      <c r="E8" s="35" t="n">
        <f aca="false">IF($C8=0,0,$D8/$C8)</f>
        <v>0</v>
      </c>
      <c r="F8" s="36" t="str">
        <f aca="false">IF($C8=0,"",$T8)</f>
        <v/>
      </c>
      <c r="G8" s="36" t="str">
        <f aca="false">IF($C8=0,"",MAX(0,MIN($C8,$E$4-($T8-$C8))))</f>
        <v/>
      </c>
      <c r="H8" s="36" t="str">
        <f aca="false">IF($C8=0,"",$C8-$G8)</f>
        <v/>
      </c>
      <c r="J8" s="24" t="str">
        <f aca="false">IF($L8=0,"",DIARIO!$A4)</f>
        <v/>
      </c>
      <c r="K8" s="33" t="str">
        <f aca="false">IF($L8=0,"",DIARIO!$B4)</f>
        <v/>
      </c>
      <c r="L8" s="34" t="n">
        <f aca="false">IF(AND($S8="Sí",DIARIO!$F4=$B$2),N(DIARIO!$G4),0)</f>
        <v>0</v>
      </c>
      <c r="M8" s="36" t="str">
        <f aca="false">IF($L8=0,"",$U8)</f>
        <v/>
      </c>
      <c r="N8" s="37" t="str">
        <f aca="false">IF($L8=0,"",SUMPRODUCT($E$7:$E$106*((((($U8-($T$7:$T$106-$C$7:$C$106))+ABS(($U8-($T$7:$T$106-$C$7:$C$106))))/2)+$C$7:$C$106-ABS(((($U8-($T$7:$T$106-$C$7:$C$106))+ABS(($U8-($T$7:$T$106-$C$7:$C$106))))/2)-$C$7:$C$106))/2))-SUMPRODUCT($E$7:$E$106*(((((($U8-$L8)-($T$7:$T$106-$C$7:$C$106))+ABS((($U8-$L8)-($T$7:$T$106-$C$7:$C$106))))/2)+$C$7:$C$106-ABS((((($U8-$L8)-($T$7:$T$106-$C$7:$C$106))+ABS((($U8-$L8)-($T$7:$T$106-$C$7:$C$106))))/2)-$C$7:$C$106))/2)))</f>
        <v/>
      </c>
      <c r="O8" s="37" t="str">
        <f aca="false">IF($L8=0,"",N(DIARIO!$L4)-IF(DIARIO!$K4="EUR",N(DIARIO!$J4),0))</f>
        <v/>
      </c>
      <c r="P8" s="37" t="str">
        <f aca="false">IF($L8=0,"",$O8-$N8)</f>
        <v/>
      </c>
      <c r="R8" s="38" t="str">
        <f aca="false">IF(DIARIO!$C4="","",IFERROR(INDEX(PARÁMETROS!$D$5:$D$15,MATCH(DIARIO!$C4,PARÁMETROS!$A$5:$A$15,0)),""))</f>
        <v>No</v>
      </c>
      <c r="S8" s="38" t="str">
        <f aca="false">IF(DIARIO!$C4="","",IFERROR(INDEX(PARÁMETROS!$E$5:$E$15,MATCH(DIARIO!$C4,PARÁMETROS!$A$5:$A$15,0)),""))</f>
        <v>No</v>
      </c>
      <c r="T8" s="39" t="n">
        <f aca="false">SUM($C$7:$C8)</f>
        <v>0.5</v>
      </c>
      <c r="U8" s="39" t="n">
        <f aca="false">SUM($L$7:$L8)</f>
        <v>0</v>
      </c>
    </row>
    <row r="9" customFormat="false" ht="15" hidden="false" customHeight="false" outlineLevel="0" collapsed="false">
      <c r="A9" s="24" t="str">
        <f aca="false">IF($C9=0,"",DIARIO!$A5)</f>
        <v>2026-003</v>
      </c>
      <c r="B9" s="33" t="n">
        <f aca="false">IF($C9=0,"",DIARIO!$B5)</f>
        <v>46082.3833333333</v>
      </c>
      <c r="C9" s="34" t="n">
        <f aca="false">IF(AND($R9="Sí",DIARIO!$H5=$B$2),N(DIARIO!$I5),0)</f>
        <v>0.05</v>
      </c>
      <c r="D9" s="35" t="n">
        <f aca="false">IF($C9=0,0,N(DIARIO!$L5)+IF(DIARIO!$K5="EUR",N(DIARIO!$J5),0))</f>
        <v>130</v>
      </c>
      <c r="E9" s="35" t="n">
        <f aca="false">IF($C9=0,0,$D9/$C9)</f>
        <v>2600</v>
      </c>
      <c r="F9" s="36" t="n">
        <f aca="false">IF($C9=0,"",$T9)</f>
        <v>0.55</v>
      </c>
      <c r="G9" s="36" t="n">
        <f aca="false">IF($C9=0,"",MAX(0,MIN($C9,$E$4-($T9-$C9))))</f>
        <v>0</v>
      </c>
      <c r="H9" s="36" t="n">
        <f aca="false">IF($C9=0,"",$C9-$G9)</f>
        <v>0.05</v>
      </c>
      <c r="J9" s="24" t="str">
        <f aca="false">IF($L9=0,"",DIARIO!$A5)</f>
        <v/>
      </c>
      <c r="K9" s="33" t="str">
        <f aca="false">IF($L9=0,"",DIARIO!$B5)</f>
        <v/>
      </c>
      <c r="L9" s="34" t="n">
        <f aca="false">IF(AND($S9="Sí",DIARIO!$F5=$B$2),N(DIARIO!$G5),0)</f>
        <v>0</v>
      </c>
      <c r="M9" s="36" t="str">
        <f aca="false">IF($L9=0,"",$U9)</f>
        <v/>
      </c>
      <c r="N9" s="37" t="str">
        <f aca="false">IF($L9=0,"",SUMPRODUCT($E$7:$E$106*((((($U9-($T$7:$T$106-$C$7:$C$106))+ABS(($U9-($T$7:$T$106-$C$7:$C$106))))/2)+$C$7:$C$106-ABS(((($U9-($T$7:$T$106-$C$7:$C$106))+ABS(($U9-($T$7:$T$106-$C$7:$C$106))))/2)-$C$7:$C$106))/2))-SUMPRODUCT($E$7:$E$106*(((((($U9-$L9)-($T$7:$T$106-$C$7:$C$106))+ABS((($U9-$L9)-($T$7:$T$106-$C$7:$C$106))))/2)+$C$7:$C$106-ABS((((($U9-$L9)-($T$7:$T$106-$C$7:$C$106))+ABS((($U9-$L9)-($T$7:$T$106-$C$7:$C$106))))/2)-$C$7:$C$106))/2)))</f>
        <v/>
      </c>
      <c r="O9" s="37" t="str">
        <f aca="false">IF($L9=0,"",N(DIARIO!$L5)-IF(DIARIO!$K5="EUR",N(DIARIO!$J5),0))</f>
        <v/>
      </c>
      <c r="P9" s="37" t="str">
        <f aca="false">IF($L9=0,"",$O9-$N9)</f>
        <v/>
      </c>
      <c r="R9" s="38" t="str">
        <f aca="false">IF(DIARIO!$C5="","",IFERROR(INDEX(PARÁMETROS!$D$5:$D$15,MATCH(DIARIO!$C5,PARÁMETROS!$A$5:$A$15,0)),""))</f>
        <v>Sí</v>
      </c>
      <c r="S9" s="38" t="str">
        <f aca="false">IF(DIARIO!$C5="","",IFERROR(INDEX(PARÁMETROS!$E$5:$E$15,MATCH(DIARIO!$C5,PARÁMETROS!$A$5:$A$15,0)),""))</f>
        <v>No</v>
      </c>
      <c r="T9" s="39" t="n">
        <f aca="false">SUM($C$7:$C9)</f>
        <v>0.55</v>
      </c>
      <c r="U9" s="39" t="n">
        <f aca="false">SUM($L$7:$L9)</f>
        <v>0</v>
      </c>
    </row>
    <row r="10" customFormat="false" ht="15" hidden="false" customHeight="false" outlineLevel="0" collapsed="false">
      <c r="A10" s="24" t="str">
        <f aca="false">IF($C10=0,"",DIARIO!$A6)</f>
        <v/>
      </c>
      <c r="B10" s="33" t="str">
        <f aca="false">IF($C10=0,"",DIARIO!$B6)</f>
        <v/>
      </c>
      <c r="C10" s="34" t="n">
        <f aca="false">IF(AND($R10="Sí",DIARIO!$H6=$B$2),N(DIARIO!$I6),0)</f>
        <v>0</v>
      </c>
      <c r="D10" s="35" t="n">
        <f aca="false">IF($C10=0,0,N(DIARIO!$L6)+IF(DIARIO!$K6="EUR",N(DIARIO!$J6),0))</f>
        <v>0</v>
      </c>
      <c r="E10" s="35" t="n">
        <f aca="false">IF($C10=0,0,$D10/$C10)</f>
        <v>0</v>
      </c>
      <c r="F10" s="36" t="str">
        <f aca="false">IF($C10=0,"",$T10)</f>
        <v/>
      </c>
      <c r="G10" s="36" t="str">
        <f aca="false">IF($C10=0,"",MAX(0,MIN($C10,$E$4-($T10-$C10))))</f>
        <v/>
      </c>
      <c r="H10" s="36" t="str">
        <f aca="false">IF($C10=0,"",$C10-$G10)</f>
        <v/>
      </c>
      <c r="J10" s="24" t="str">
        <f aca="false">IF($L10=0,"",DIARIO!$A6)</f>
        <v/>
      </c>
      <c r="K10" s="33" t="str">
        <f aca="false">IF($L10=0,"",DIARIO!$B6)</f>
        <v/>
      </c>
      <c r="L10" s="34" t="n">
        <f aca="false">IF(AND($S10="Sí",DIARIO!$F6=$B$2),N(DIARIO!$G6),0)</f>
        <v>0</v>
      </c>
      <c r="M10" s="36" t="str">
        <f aca="false">IF($L10=0,"",$U10)</f>
        <v/>
      </c>
      <c r="N10" s="37" t="str">
        <f aca="false">IF($L10=0,"",SUMPRODUCT($E$7:$E$106*((((($U10-($T$7:$T$106-$C$7:$C$106))+ABS(($U10-($T$7:$T$106-$C$7:$C$106))))/2)+$C$7:$C$106-ABS(((($U10-($T$7:$T$106-$C$7:$C$106))+ABS(($U10-($T$7:$T$106-$C$7:$C$106))))/2)-$C$7:$C$106))/2))-SUMPRODUCT($E$7:$E$106*(((((($U10-$L10)-($T$7:$T$106-$C$7:$C$106))+ABS((($U10-$L10)-($T$7:$T$106-$C$7:$C$106))))/2)+$C$7:$C$106-ABS((((($U10-$L10)-($T$7:$T$106-$C$7:$C$106))+ABS((($U10-$L10)-($T$7:$T$106-$C$7:$C$106))))/2)-$C$7:$C$106))/2)))</f>
        <v/>
      </c>
      <c r="O10" s="37" t="str">
        <f aca="false">IF($L10=0,"",N(DIARIO!$L6)-IF(DIARIO!$K6="EUR",N(DIARIO!$J6),0))</f>
        <v/>
      </c>
      <c r="P10" s="37" t="str">
        <f aca="false">IF($L10=0,"",$O10-$N10)</f>
        <v/>
      </c>
      <c r="R10" s="38" t="str">
        <f aca="false">IF(DIARIO!$C6="","",IFERROR(INDEX(PARÁMETROS!$D$5:$D$15,MATCH(DIARIO!$C6,PARÁMETROS!$A$5:$A$15,0)),""))</f>
        <v/>
      </c>
      <c r="S10" s="38" t="str">
        <f aca="false">IF(DIARIO!$C6="","",IFERROR(INDEX(PARÁMETROS!$E$5:$E$15,MATCH(DIARIO!$C6,PARÁMETROS!$A$5:$A$15,0)),""))</f>
        <v/>
      </c>
      <c r="T10" s="39" t="n">
        <f aca="false">SUM($C$7:$C10)</f>
        <v>0.55</v>
      </c>
      <c r="U10" s="39" t="n">
        <f aca="false">SUM($L$7:$L10)</f>
        <v>0</v>
      </c>
    </row>
    <row r="11" customFormat="false" ht="15" hidden="false" customHeight="false" outlineLevel="0" collapsed="false">
      <c r="A11" s="24" t="str">
        <f aca="false">IF($C11=0,"",DIARIO!$A7)</f>
        <v/>
      </c>
      <c r="B11" s="33" t="str">
        <f aca="false">IF($C11=0,"",DIARIO!$B7)</f>
        <v/>
      </c>
      <c r="C11" s="34" t="n">
        <f aca="false">IF(AND($R11="Sí",DIARIO!$H7=$B$2),N(DIARIO!$I7),0)</f>
        <v>0</v>
      </c>
      <c r="D11" s="35" t="n">
        <f aca="false">IF($C11=0,0,N(DIARIO!$L7)+IF(DIARIO!$K7="EUR",N(DIARIO!$J7),0))</f>
        <v>0</v>
      </c>
      <c r="E11" s="35" t="n">
        <f aca="false">IF($C11=0,0,$D11/$C11)</f>
        <v>0</v>
      </c>
      <c r="F11" s="36" t="str">
        <f aca="false">IF($C11=0,"",$T11)</f>
        <v/>
      </c>
      <c r="G11" s="36" t="str">
        <f aca="false">IF($C11=0,"",MAX(0,MIN($C11,$E$4-($T11-$C11))))</f>
        <v/>
      </c>
      <c r="H11" s="36" t="str">
        <f aca="false">IF($C11=0,"",$C11-$G11)</f>
        <v/>
      </c>
      <c r="J11" s="24" t="str">
        <f aca="false">IF($L11=0,"",DIARIO!$A7)</f>
        <v/>
      </c>
      <c r="K11" s="33" t="str">
        <f aca="false">IF($L11=0,"",DIARIO!$B7)</f>
        <v/>
      </c>
      <c r="L11" s="34" t="n">
        <f aca="false">IF(AND($S11="Sí",DIARIO!$F7=$B$2),N(DIARIO!$G7),0)</f>
        <v>0</v>
      </c>
      <c r="M11" s="36" t="str">
        <f aca="false">IF($L11=0,"",$U11)</f>
        <v/>
      </c>
      <c r="N11" s="37" t="str">
        <f aca="false">IF($L11=0,"",SUMPRODUCT($E$7:$E$106*((((($U11-($T$7:$T$106-$C$7:$C$106))+ABS(($U11-($T$7:$T$106-$C$7:$C$106))))/2)+$C$7:$C$106-ABS(((($U11-($T$7:$T$106-$C$7:$C$106))+ABS(($U11-($T$7:$T$106-$C$7:$C$106))))/2)-$C$7:$C$106))/2))-SUMPRODUCT($E$7:$E$106*(((((($U11-$L11)-($T$7:$T$106-$C$7:$C$106))+ABS((($U11-$L11)-($T$7:$T$106-$C$7:$C$106))))/2)+$C$7:$C$106-ABS((((($U11-$L11)-($T$7:$T$106-$C$7:$C$106))+ABS((($U11-$L11)-($T$7:$T$106-$C$7:$C$106))))/2)-$C$7:$C$106))/2)))</f>
        <v/>
      </c>
      <c r="O11" s="37" t="str">
        <f aca="false">IF($L11=0,"",N(DIARIO!$L7)-IF(DIARIO!$K7="EUR",N(DIARIO!$J7),0))</f>
        <v/>
      </c>
      <c r="P11" s="37" t="str">
        <f aca="false">IF($L11=0,"",$O11-$N11)</f>
        <v/>
      </c>
      <c r="R11" s="38" t="str">
        <f aca="false">IF(DIARIO!$C7="","",IFERROR(INDEX(PARÁMETROS!$D$5:$D$15,MATCH(DIARIO!$C7,PARÁMETROS!$A$5:$A$15,0)),""))</f>
        <v/>
      </c>
      <c r="S11" s="38" t="str">
        <f aca="false">IF(DIARIO!$C7="","",IFERROR(INDEX(PARÁMETROS!$E$5:$E$15,MATCH(DIARIO!$C7,PARÁMETROS!$A$5:$A$15,0)),""))</f>
        <v/>
      </c>
      <c r="T11" s="39" t="n">
        <f aca="false">SUM($C$7:$C11)</f>
        <v>0.55</v>
      </c>
      <c r="U11" s="39" t="n">
        <f aca="false">SUM($L$7:$L11)</f>
        <v>0</v>
      </c>
    </row>
    <row r="12" customFormat="false" ht="15" hidden="false" customHeight="false" outlineLevel="0" collapsed="false">
      <c r="A12" s="24" t="str">
        <f aca="false">IF($C12=0,"",DIARIO!$A8)</f>
        <v/>
      </c>
      <c r="B12" s="33" t="str">
        <f aca="false">IF($C12=0,"",DIARIO!$B8)</f>
        <v/>
      </c>
      <c r="C12" s="34" t="n">
        <f aca="false">IF(AND($R12="Sí",DIARIO!$H8=$B$2),N(DIARIO!$I8),0)</f>
        <v>0</v>
      </c>
      <c r="D12" s="35" t="n">
        <f aca="false">IF($C12=0,0,N(DIARIO!$L8)+IF(DIARIO!$K8="EUR",N(DIARIO!$J8),0))</f>
        <v>0</v>
      </c>
      <c r="E12" s="35" t="n">
        <f aca="false">IF($C12=0,0,$D12/$C12)</f>
        <v>0</v>
      </c>
      <c r="F12" s="36" t="str">
        <f aca="false">IF($C12=0,"",$T12)</f>
        <v/>
      </c>
      <c r="G12" s="36" t="str">
        <f aca="false">IF($C12=0,"",MAX(0,MIN($C12,$E$4-($T12-$C12))))</f>
        <v/>
      </c>
      <c r="H12" s="36" t="str">
        <f aca="false">IF($C12=0,"",$C12-$G12)</f>
        <v/>
      </c>
      <c r="J12" s="24" t="str">
        <f aca="false">IF($L12=0,"",DIARIO!$A8)</f>
        <v/>
      </c>
      <c r="K12" s="33" t="str">
        <f aca="false">IF($L12=0,"",DIARIO!$B8)</f>
        <v/>
      </c>
      <c r="L12" s="34" t="n">
        <f aca="false">IF(AND($S12="Sí",DIARIO!$F8=$B$2),N(DIARIO!$G8),0)</f>
        <v>0</v>
      </c>
      <c r="M12" s="36" t="str">
        <f aca="false">IF($L12=0,"",$U12)</f>
        <v/>
      </c>
      <c r="N12" s="37" t="str">
        <f aca="false">IF($L12=0,"",SUMPRODUCT($E$7:$E$106*((((($U12-($T$7:$T$106-$C$7:$C$106))+ABS(($U12-($T$7:$T$106-$C$7:$C$106))))/2)+$C$7:$C$106-ABS(((($U12-($T$7:$T$106-$C$7:$C$106))+ABS(($U12-($T$7:$T$106-$C$7:$C$106))))/2)-$C$7:$C$106))/2))-SUMPRODUCT($E$7:$E$106*(((((($U12-$L12)-($T$7:$T$106-$C$7:$C$106))+ABS((($U12-$L12)-($T$7:$T$106-$C$7:$C$106))))/2)+$C$7:$C$106-ABS((((($U12-$L12)-($T$7:$T$106-$C$7:$C$106))+ABS((($U12-$L12)-($T$7:$T$106-$C$7:$C$106))))/2)-$C$7:$C$106))/2)))</f>
        <v/>
      </c>
      <c r="O12" s="37" t="str">
        <f aca="false">IF($L12=0,"",N(DIARIO!$L8)-IF(DIARIO!$K8="EUR",N(DIARIO!$J8),0))</f>
        <v/>
      </c>
      <c r="P12" s="37" t="str">
        <f aca="false">IF($L12=0,"",$O12-$N12)</f>
        <v/>
      </c>
      <c r="R12" s="38" t="str">
        <f aca="false">IF(DIARIO!$C8="","",IFERROR(INDEX(PARÁMETROS!$D$5:$D$15,MATCH(DIARIO!$C8,PARÁMETROS!$A$5:$A$15,0)),""))</f>
        <v/>
      </c>
      <c r="S12" s="38" t="str">
        <f aca="false">IF(DIARIO!$C8="","",IFERROR(INDEX(PARÁMETROS!$E$5:$E$15,MATCH(DIARIO!$C8,PARÁMETROS!$A$5:$A$15,0)),""))</f>
        <v/>
      </c>
      <c r="T12" s="39" t="n">
        <f aca="false">SUM($C$7:$C12)</f>
        <v>0.55</v>
      </c>
      <c r="U12" s="39" t="n">
        <f aca="false">SUM($L$7:$L12)</f>
        <v>0</v>
      </c>
    </row>
    <row r="13" customFormat="false" ht="15" hidden="false" customHeight="false" outlineLevel="0" collapsed="false">
      <c r="A13" s="24" t="str">
        <f aca="false">IF($C13=0,"",DIARIO!$A9)</f>
        <v/>
      </c>
      <c r="B13" s="33" t="str">
        <f aca="false">IF($C13=0,"",DIARIO!$B9)</f>
        <v/>
      </c>
      <c r="C13" s="34" t="n">
        <f aca="false">IF(AND($R13="Sí",DIARIO!$H9=$B$2),N(DIARIO!$I9),0)</f>
        <v>0</v>
      </c>
      <c r="D13" s="35" t="n">
        <f aca="false">IF($C13=0,0,N(DIARIO!$L9)+IF(DIARIO!$K9="EUR",N(DIARIO!$J9),0))</f>
        <v>0</v>
      </c>
      <c r="E13" s="35" t="n">
        <f aca="false">IF($C13=0,0,$D13/$C13)</f>
        <v>0</v>
      </c>
      <c r="F13" s="36" t="str">
        <f aca="false">IF($C13=0,"",$T13)</f>
        <v/>
      </c>
      <c r="G13" s="36" t="str">
        <f aca="false">IF($C13=0,"",MAX(0,MIN($C13,$E$4-($T13-$C13))))</f>
        <v/>
      </c>
      <c r="H13" s="36" t="str">
        <f aca="false">IF($C13=0,"",$C13-$G13)</f>
        <v/>
      </c>
      <c r="J13" s="24" t="str">
        <f aca="false">IF($L13=0,"",DIARIO!$A9)</f>
        <v/>
      </c>
      <c r="K13" s="33" t="str">
        <f aca="false">IF($L13=0,"",DIARIO!$B9)</f>
        <v/>
      </c>
      <c r="L13" s="34" t="n">
        <f aca="false">IF(AND($S13="Sí",DIARIO!$F9=$B$2),N(DIARIO!$G9),0)</f>
        <v>0</v>
      </c>
      <c r="M13" s="36" t="str">
        <f aca="false">IF($L13=0,"",$U13)</f>
        <v/>
      </c>
      <c r="N13" s="37" t="str">
        <f aca="false">IF($L13=0,"",SUMPRODUCT($E$7:$E$106*((((($U13-($T$7:$T$106-$C$7:$C$106))+ABS(($U13-($T$7:$T$106-$C$7:$C$106))))/2)+$C$7:$C$106-ABS(((($U13-($T$7:$T$106-$C$7:$C$106))+ABS(($U13-($T$7:$T$106-$C$7:$C$106))))/2)-$C$7:$C$106))/2))-SUMPRODUCT($E$7:$E$106*(((((($U13-$L13)-($T$7:$T$106-$C$7:$C$106))+ABS((($U13-$L13)-($T$7:$T$106-$C$7:$C$106))))/2)+$C$7:$C$106-ABS((((($U13-$L13)-($T$7:$T$106-$C$7:$C$106))+ABS((($U13-$L13)-($T$7:$T$106-$C$7:$C$106))))/2)-$C$7:$C$106))/2)))</f>
        <v/>
      </c>
      <c r="O13" s="37" t="str">
        <f aca="false">IF($L13=0,"",N(DIARIO!$L9)-IF(DIARIO!$K9="EUR",N(DIARIO!$J9),0))</f>
        <v/>
      </c>
      <c r="P13" s="37" t="str">
        <f aca="false">IF($L13=0,"",$O13-$N13)</f>
        <v/>
      </c>
      <c r="R13" s="38" t="str">
        <f aca="false">IF(DIARIO!$C9="","",IFERROR(INDEX(PARÁMETROS!$D$5:$D$15,MATCH(DIARIO!$C9,PARÁMETROS!$A$5:$A$15,0)),""))</f>
        <v/>
      </c>
      <c r="S13" s="38" t="str">
        <f aca="false">IF(DIARIO!$C9="","",IFERROR(INDEX(PARÁMETROS!$E$5:$E$15,MATCH(DIARIO!$C9,PARÁMETROS!$A$5:$A$15,0)),""))</f>
        <v/>
      </c>
      <c r="T13" s="39" t="n">
        <f aca="false">SUM($C$7:$C13)</f>
        <v>0.55</v>
      </c>
      <c r="U13" s="39" t="n">
        <f aca="false">SUM($L$7:$L13)</f>
        <v>0</v>
      </c>
    </row>
    <row r="14" customFormat="false" ht="15" hidden="false" customHeight="false" outlineLevel="0" collapsed="false">
      <c r="A14" s="24" t="str">
        <f aca="false">IF($C14=0,"",DIARIO!$A10)</f>
        <v/>
      </c>
      <c r="B14" s="33" t="str">
        <f aca="false">IF($C14=0,"",DIARIO!$B10)</f>
        <v/>
      </c>
      <c r="C14" s="34" t="n">
        <f aca="false">IF(AND($R14="Sí",DIARIO!$H10=$B$2),N(DIARIO!$I10),0)</f>
        <v>0</v>
      </c>
      <c r="D14" s="35" t="n">
        <f aca="false">IF($C14=0,0,N(DIARIO!$L10)+IF(DIARIO!$K10="EUR",N(DIARIO!$J10),0))</f>
        <v>0</v>
      </c>
      <c r="E14" s="35" t="n">
        <f aca="false">IF($C14=0,0,$D14/$C14)</f>
        <v>0</v>
      </c>
      <c r="F14" s="36" t="str">
        <f aca="false">IF($C14=0,"",$T14)</f>
        <v/>
      </c>
      <c r="G14" s="36" t="str">
        <f aca="false">IF($C14=0,"",MAX(0,MIN($C14,$E$4-($T14-$C14))))</f>
        <v/>
      </c>
      <c r="H14" s="36" t="str">
        <f aca="false">IF($C14=0,"",$C14-$G14)</f>
        <v/>
      </c>
      <c r="J14" s="24" t="str">
        <f aca="false">IF($L14=0,"",DIARIO!$A10)</f>
        <v/>
      </c>
      <c r="K14" s="33" t="str">
        <f aca="false">IF($L14=0,"",DIARIO!$B10)</f>
        <v/>
      </c>
      <c r="L14" s="34" t="n">
        <f aca="false">IF(AND($S14="Sí",DIARIO!$F10=$B$2),N(DIARIO!$G10),0)</f>
        <v>0</v>
      </c>
      <c r="M14" s="36" t="str">
        <f aca="false">IF($L14=0,"",$U14)</f>
        <v/>
      </c>
      <c r="N14" s="37" t="str">
        <f aca="false">IF($L14=0,"",SUMPRODUCT($E$7:$E$106*((((($U14-($T$7:$T$106-$C$7:$C$106))+ABS(($U14-($T$7:$T$106-$C$7:$C$106))))/2)+$C$7:$C$106-ABS(((($U14-($T$7:$T$106-$C$7:$C$106))+ABS(($U14-($T$7:$T$106-$C$7:$C$106))))/2)-$C$7:$C$106))/2))-SUMPRODUCT($E$7:$E$106*(((((($U14-$L14)-($T$7:$T$106-$C$7:$C$106))+ABS((($U14-$L14)-($T$7:$T$106-$C$7:$C$106))))/2)+$C$7:$C$106-ABS((((($U14-$L14)-($T$7:$T$106-$C$7:$C$106))+ABS((($U14-$L14)-($T$7:$T$106-$C$7:$C$106))))/2)-$C$7:$C$106))/2)))</f>
        <v/>
      </c>
      <c r="O14" s="37" t="str">
        <f aca="false">IF($L14=0,"",N(DIARIO!$L10)-IF(DIARIO!$K10="EUR",N(DIARIO!$J10),0))</f>
        <v/>
      </c>
      <c r="P14" s="37" t="str">
        <f aca="false">IF($L14=0,"",$O14-$N14)</f>
        <v/>
      </c>
      <c r="R14" s="38" t="str">
        <f aca="false">IF(DIARIO!$C10="","",IFERROR(INDEX(PARÁMETROS!$D$5:$D$15,MATCH(DIARIO!$C10,PARÁMETROS!$A$5:$A$15,0)),""))</f>
        <v/>
      </c>
      <c r="S14" s="38" t="str">
        <f aca="false">IF(DIARIO!$C10="","",IFERROR(INDEX(PARÁMETROS!$E$5:$E$15,MATCH(DIARIO!$C10,PARÁMETROS!$A$5:$A$15,0)),""))</f>
        <v/>
      </c>
      <c r="T14" s="39" t="n">
        <f aca="false">SUM($C$7:$C14)</f>
        <v>0.55</v>
      </c>
      <c r="U14" s="39" t="n">
        <f aca="false">SUM($L$7:$L14)</f>
        <v>0</v>
      </c>
    </row>
    <row r="15" customFormat="false" ht="15" hidden="false" customHeight="false" outlineLevel="0" collapsed="false">
      <c r="A15" s="24" t="str">
        <f aca="false">IF($C15=0,"",DIARIO!$A11)</f>
        <v/>
      </c>
      <c r="B15" s="33" t="str">
        <f aca="false">IF($C15=0,"",DIARIO!$B11)</f>
        <v/>
      </c>
      <c r="C15" s="34" t="n">
        <f aca="false">IF(AND($R15="Sí",DIARIO!$H11=$B$2),N(DIARIO!$I11),0)</f>
        <v>0</v>
      </c>
      <c r="D15" s="35" t="n">
        <f aca="false">IF($C15=0,0,N(DIARIO!$L11)+IF(DIARIO!$K11="EUR",N(DIARIO!$J11),0))</f>
        <v>0</v>
      </c>
      <c r="E15" s="35" t="n">
        <f aca="false">IF($C15=0,0,$D15/$C15)</f>
        <v>0</v>
      </c>
      <c r="F15" s="36" t="str">
        <f aca="false">IF($C15=0,"",$T15)</f>
        <v/>
      </c>
      <c r="G15" s="36" t="str">
        <f aca="false">IF($C15=0,"",MAX(0,MIN($C15,$E$4-($T15-$C15))))</f>
        <v/>
      </c>
      <c r="H15" s="36" t="str">
        <f aca="false">IF($C15=0,"",$C15-$G15)</f>
        <v/>
      </c>
      <c r="J15" s="24" t="str">
        <f aca="false">IF($L15=0,"",DIARIO!$A11)</f>
        <v/>
      </c>
      <c r="K15" s="33" t="str">
        <f aca="false">IF($L15=0,"",DIARIO!$B11)</f>
        <v/>
      </c>
      <c r="L15" s="34" t="n">
        <f aca="false">IF(AND($S15="Sí",DIARIO!$F11=$B$2),N(DIARIO!$G11),0)</f>
        <v>0</v>
      </c>
      <c r="M15" s="36" t="str">
        <f aca="false">IF($L15=0,"",$U15)</f>
        <v/>
      </c>
      <c r="N15" s="37" t="str">
        <f aca="false">IF($L15=0,"",SUMPRODUCT($E$7:$E$106*((((($U15-($T$7:$T$106-$C$7:$C$106))+ABS(($U15-($T$7:$T$106-$C$7:$C$106))))/2)+$C$7:$C$106-ABS(((($U15-($T$7:$T$106-$C$7:$C$106))+ABS(($U15-($T$7:$T$106-$C$7:$C$106))))/2)-$C$7:$C$106))/2))-SUMPRODUCT($E$7:$E$106*(((((($U15-$L15)-($T$7:$T$106-$C$7:$C$106))+ABS((($U15-$L15)-($T$7:$T$106-$C$7:$C$106))))/2)+$C$7:$C$106-ABS((((($U15-$L15)-($T$7:$T$106-$C$7:$C$106))+ABS((($U15-$L15)-($T$7:$T$106-$C$7:$C$106))))/2)-$C$7:$C$106))/2)))</f>
        <v/>
      </c>
      <c r="O15" s="37" t="str">
        <f aca="false">IF($L15=0,"",N(DIARIO!$L11)-IF(DIARIO!$K11="EUR",N(DIARIO!$J11),0))</f>
        <v/>
      </c>
      <c r="P15" s="37" t="str">
        <f aca="false">IF($L15=0,"",$O15-$N15)</f>
        <v/>
      </c>
      <c r="R15" s="38" t="str">
        <f aca="false">IF(DIARIO!$C11="","",IFERROR(INDEX(PARÁMETROS!$D$5:$D$15,MATCH(DIARIO!$C11,PARÁMETROS!$A$5:$A$15,0)),""))</f>
        <v/>
      </c>
      <c r="S15" s="38" t="str">
        <f aca="false">IF(DIARIO!$C11="","",IFERROR(INDEX(PARÁMETROS!$E$5:$E$15,MATCH(DIARIO!$C11,PARÁMETROS!$A$5:$A$15,0)),""))</f>
        <v/>
      </c>
      <c r="T15" s="39" t="n">
        <f aca="false">SUM($C$7:$C15)</f>
        <v>0.55</v>
      </c>
      <c r="U15" s="39" t="n">
        <f aca="false">SUM($L$7:$L15)</f>
        <v>0</v>
      </c>
    </row>
    <row r="16" customFormat="false" ht="15" hidden="false" customHeight="false" outlineLevel="0" collapsed="false">
      <c r="A16" s="24" t="str">
        <f aca="false">IF($C16=0,"",DIARIO!$A12)</f>
        <v/>
      </c>
      <c r="B16" s="33" t="str">
        <f aca="false">IF($C16=0,"",DIARIO!$B12)</f>
        <v/>
      </c>
      <c r="C16" s="34" t="n">
        <f aca="false">IF(AND($R16="Sí",DIARIO!$H12=$B$2),N(DIARIO!$I12),0)</f>
        <v>0</v>
      </c>
      <c r="D16" s="35" t="n">
        <f aca="false">IF($C16=0,0,N(DIARIO!$L12)+IF(DIARIO!$K12="EUR",N(DIARIO!$J12),0))</f>
        <v>0</v>
      </c>
      <c r="E16" s="35" t="n">
        <f aca="false">IF($C16=0,0,$D16/$C16)</f>
        <v>0</v>
      </c>
      <c r="F16" s="36" t="str">
        <f aca="false">IF($C16=0,"",$T16)</f>
        <v/>
      </c>
      <c r="G16" s="36" t="str">
        <f aca="false">IF($C16=0,"",MAX(0,MIN($C16,$E$4-($T16-$C16))))</f>
        <v/>
      </c>
      <c r="H16" s="36" t="str">
        <f aca="false">IF($C16=0,"",$C16-$G16)</f>
        <v/>
      </c>
      <c r="J16" s="24" t="str">
        <f aca="false">IF($L16=0,"",DIARIO!$A12)</f>
        <v/>
      </c>
      <c r="K16" s="33" t="str">
        <f aca="false">IF($L16=0,"",DIARIO!$B12)</f>
        <v/>
      </c>
      <c r="L16" s="34" t="n">
        <f aca="false">IF(AND($S16="Sí",DIARIO!$F12=$B$2),N(DIARIO!$G12),0)</f>
        <v>0</v>
      </c>
      <c r="M16" s="36" t="str">
        <f aca="false">IF($L16=0,"",$U16)</f>
        <v/>
      </c>
      <c r="N16" s="37" t="str">
        <f aca="false">IF($L16=0,"",SUMPRODUCT($E$7:$E$106*((((($U16-($T$7:$T$106-$C$7:$C$106))+ABS(($U16-($T$7:$T$106-$C$7:$C$106))))/2)+$C$7:$C$106-ABS(((($U16-($T$7:$T$106-$C$7:$C$106))+ABS(($U16-($T$7:$T$106-$C$7:$C$106))))/2)-$C$7:$C$106))/2))-SUMPRODUCT($E$7:$E$106*(((((($U16-$L16)-($T$7:$T$106-$C$7:$C$106))+ABS((($U16-$L16)-($T$7:$T$106-$C$7:$C$106))))/2)+$C$7:$C$106-ABS((((($U16-$L16)-($T$7:$T$106-$C$7:$C$106))+ABS((($U16-$L16)-($T$7:$T$106-$C$7:$C$106))))/2)-$C$7:$C$106))/2)))</f>
        <v/>
      </c>
      <c r="O16" s="37" t="str">
        <f aca="false">IF($L16=0,"",N(DIARIO!$L12)-IF(DIARIO!$K12="EUR",N(DIARIO!$J12),0))</f>
        <v/>
      </c>
      <c r="P16" s="37" t="str">
        <f aca="false">IF($L16=0,"",$O16-$N16)</f>
        <v/>
      </c>
      <c r="R16" s="38" t="str">
        <f aca="false">IF(DIARIO!$C12="","",IFERROR(INDEX(PARÁMETROS!$D$5:$D$15,MATCH(DIARIO!$C12,PARÁMETROS!$A$5:$A$15,0)),""))</f>
        <v/>
      </c>
      <c r="S16" s="38" t="str">
        <f aca="false">IF(DIARIO!$C12="","",IFERROR(INDEX(PARÁMETROS!$E$5:$E$15,MATCH(DIARIO!$C12,PARÁMETROS!$A$5:$A$15,0)),""))</f>
        <v/>
      </c>
      <c r="T16" s="39" t="n">
        <f aca="false">SUM($C$7:$C16)</f>
        <v>0.55</v>
      </c>
      <c r="U16" s="39" t="n">
        <f aca="false">SUM($L$7:$L16)</f>
        <v>0</v>
      </c>
    </row>
    <row r="17" customFormat="false" ht="15" hidden="false" customHeight="false" outlineLevel="0" collapsed="false">
      <c r="A17" s="24" t="str">
        <f aca="false">IF($C17=0,"",DIARIO!$A13)</f>
        <v/>
      </c>
      <c r="B17" s="33" t="str">
        <f aca="false">IF($C17=0,"",DIARIO!$B13)</f>
        <v/>
      </c>
      <c r="C17" s="34" t="n">
        <f aca="false">IF(AND($R17="Sí",DIARIO!$H13=$B$2),N(DIARIO!$I13),0)</f>
        <v>0</v>
      </c>
      <c r="D17" s="35" t="n">
        <f aca="false">IF($C17=0,0,N(DIARIO!$L13)+IF(DIARIO!$K13="EUR",N(DIARIO!$J13),0))</f>
        <v>0</v>
      </c>
      <c r="E17" s="35" t="n">
        <f aca="false">IF($C17=0,0,$D17/$C17)</f>
        <v>0</v>
      </c>
      <c r="F17" s="36" t="str">
        <f aca="false">IF($C17=0,"",$T17)</f>
        <v/>
      </c>
      <c r="G17" s="36" t="str">
        <f aca="false">IF($C17=0,"",MAX(0,MIN($C17,$E$4-($T17-$C17))))</f>
        <v/>
      </c>
      <c r="H17" s="36" t="str">
        <f aca="false">IF($C17=0,"",$C17-$G17)</f>
        <v/>
      </c>
      <c r="J17" s="24" t="str">
        <f aca="false">IF($L17=0,"",DIARIO!$A13)</f>
        <v/>
      </c>
      <c r="K17" s="33" t="str">
        <f aca="false">IF($L17=0,"",DIARIO!$B13)</f>
        <v/>
      </c>
      <c r="L17" s="34" t="n">
        <f aca="false">IF(AND($S17="Sí",DIARIO!$F13=$B$2),N(DIARIO!$G13),0)</f>
        <v>0</v>
      </c>
      <c r="M17" s="36" t="str">
        <f aca="false">IF($L17=0,"",$U17)</f>
        <v/>
      </c>
      <c r="N17" s="37" t="str">
        <f aca="false">IF($L17=0,"",SUMPRODUCT($E$7:$E$106*((((($U17-($T$7:$T$106-$C$7:$C$106))+ABS(($U17-($T$7:$T$106-$C$7:$C$106))))/2)+$C$7:$C$106-ABS(((($U17-($T$7:$T$106-$C$7:$C$106))+ABS(($U17-($T$7:$T$106-$C$7:$C$106))))/2)-$C$7:$C$106))/2))-SUMPRODUCT($E$7:$E$106*(((((($U17-$L17)-($T$7:$T$106-$C$7:$C$106))+ABS((($U17-$L17)-($T$7:$T$106-$C$7:$C$106))))/2)+$C$7:$C$106-ABS((((($U17-$L17)-($T$7:$T$106-$C$7:$C$106))+ABS((($U17-$L17)-($T$7:$T$106-$C$7:$C$106))))/2)-$C$7:$C$106))/2)))</f>
        <v/>
      </c>
      <c r="O17" s="37" t="str">
        <f aca="false">IF($L17=0,"",N(DIARIO!$L13)-IF(DIARIO!$K13="EUR",N(DIARIO!$J13),0))</f>
        <v/>
      </c>
      <c r="P17" s="37" t="str">
        <f aca="false">IF($L17=0,"",$O17-$N17)</f>
        <v/>
      </c>
      <c r="R17" s="38" t="str">
        <f aca="false">IF(DIARIO!$C13="","",IFERROR(INDEX(PARÁMETROS!$D$5:$D$15,MATCH(DIARIO!$C13,PARÁMETROS!$A$5:$A$15,0)),""))</f>
        <v/>
      </c>
      <c r="S17" s="38" t="str">
        <f aca="false">IF(DIARIO!$C13="","",IFERROR(INDEX(PARÁMETROS!$E$5:$E$15,MATCH(DIARIO!$C13,PARÁMETROS!$A$5:$A$15,0)),""))</f>
        <v/>
      </c>
      <c r="T17" s="39" t="n">
        <f aca="false">SUM($C$7:$C17)</f>
        <v>0.55</v>
      </c>
      <c r="U17" s="39" t="n">
        <f aca="false">SUM($L$7:$L17)</f>
        <v>0</v>
      </c>
    </row>
    <row r="18" customFormat="false" ht="15" hidden="false" customHeight="false" outlineLevel="0" collapsed="false">
      <c r="A18" s="24" t="str">
        <f aca="false">IF($C18=0,"",DIARIO!$A14)</f>
        <v/>
      </c>
      <c r="B18" s="33" t="str">
        <f aca="false">IF($C18=0,"",DIARIO!$B14)</f>
        <v/>
      </c>
      <c r="C18" s="34" t="n">
        <f aca="false">IF(AND($R18="Sí",DIARIO!$H14=$B$2),N(DIARIO!$I14),0)</f>
        <v>0</v>
      </c>
      <c r="D18" s="35" t="n">
        <f aca="false">IF($C18=0,0,N(DIARIO!$L14)+IF(DIARIO!$K14="EUR",N(DIARIO!$J14),0))</f>
        <v>0</v>
      </c>
      <c r="E18" s="35" t="n">
        <f aca="false">IF($C18=0,0,$D18/$C18)</f>
        <v>0</v>
      </c>
      <c r="F18" s="36" t="str">
        <f aca="false">IF($C18=0,"",$T18)</f>
        <v/>
      </c>
      <c r="G18" s="36" t="str">
        <f aca="false">IF($C18=0,"",MAX(0,MIN($C18,$E$4-($T18-$C18))))</f>
        <v/>
      </c>
      <c r="H18" s="36" t="str">
        <f aca="false">IF($C18=0,"",$C18-$G18)</f>
        <v/>
      </c>
      <c r="J18" s="24" t="str">
        <f aca="false">IF($L18=0,"",DIARIO!$A14)</f>
        <v/>
      </c>
      <c r="K18" s="33" t="str">
        <f aca="false">IF($L18=0,"",DIARIO!$B14)</f>
        <v/>
      </c>
      <c r="L18" s="34" t="n">
        <f aca="false">IF(AND($S18="Sí",DIARIO!$F14=$B$2),N(DIARIO!$G14),0)</f>
        <v>0</v>
      </c>
      <c r="M18" s="36" t="str">
        <f aca="false">IF($L18=0,"",$U18)</f>
        <v/>
      </c>
      <c r="N18" s="37" t="str">
        <f aca="false">IF($L18=0,"",SUMPRODUCT($E$7:$E$106*((((($U18-($T$7:$T$106-$C$7:$C$106))+ABS(($U18-($T$7:$T$106-$C$7:$C$106))))/2)+$C$7:$C$106-ABS(((($U18-($T$7:$T$106-$C$7:$C$106))+ABS(($U18-($T$7:$T$106-$C$7:$C$106))))/2)-$C$7:$C$106))/2))-SUMPRODUCT($E$7:$E$106*(((((($U18-$L18)-($T$7:$T$106-$C$7:$C$106))+ABS((($U18-$L18)-($T$7:$T$106-$C$7:$C$106))))/2)+$C$7:$C$106-ABS((((($U18-$L18)-($T$7:$T$106-$C$7:$C$106))+ABS((($U18-$L18)-($T$7:$T$106-$C$7:$C$106))))/2)-$C$7:$C$106))/2)))</f>
        <v/>
      </c>
      <c r="O18" s="37" t="str">
        <f aca="false">IF($L18=0,"",N(DIARIO!$L14)-IF(DIARIO!$K14="EUR",N(DIARIO!$J14),0))</f>
        <v/>
      </c>
      <c r="P18" s="37" t="str">
        <f aca="false">IF($L18=0,"",$O18-$N18)</f>
        <v/>
      </c>
      <c r="R18" s="38" t="str">
        <f aca="false">IF(DIARIO!$C14="","",IFERROR(INDEX(PARÁMETROS!$D$5:$D$15,MATCH(DIARIO!$C14,PARÁMETROS!$A$5:$A$15,0)),""))</f>
        <v/>
      </c>
      <c r="S18" s="38" t="str">
        <f aca="false">IF(DIARIO!$C14="","",IFERROR(INDEX(PARÁMETROS!$E$5:$E$15,MATCH(DIARIO!$C14,PARÁMETROS!$A$5:$A$15,0)),""))</f>
        <v/>
      </c>
      <c r="T18" s="39" t="n">
        <f aca="false">SUM($C$7:$C18)</f>
        <v>0.55</v>
      </c>
      <c r="U18" s="39" t="n">
        <f aca="false">SUM($L$7:$L18)</f>
        <v>0</v>
      </c>
    </row>
    <row r="19" customFormat="false" ht="15" hidden="false" customHeight="false" outlineLevel="0" collapsed="false">
      <c r="A19" s="24" t="str">
        <f aca="false">IF($C19=0,"",DIARIO!$A15)</f>
        <v/>
      </c>
      <c r="B19" s="33" t="str">
        <f aca="false">IF($C19=0,"",DIARIO!$B15)</f>
        <v/>
      </c>
      <c r="C19" s="34" t="n">
        <f aca="false">IF(AND($R19="Sí",DIARIO!$H15=$B$2),N(DIARIO!$I15),0)</f>
        <v>0</v>
      </c>
      <c r="D19" s="35" t="n">
        <f aca="false">IF($C19=0,0,N(DIARIO!$L15)+IF(DIARIO!$K15="EUR",N(DIARIO!$J15),0))</f>
        <v>0</v>
      </c>
      <c r="E19" s="35" t="n">
        <f aca="false">IF($C19=0,0,$D19/$C19)</f>
        <v>0</v>
      </c>
      <c r="F19" s="36" t="str">
        <f aca="false">IF($C19=0,"",$T19)</f>
        <v/>
      </c>
      <c r="G19" s="36" t="str">
        <f aca="false">IF($C19=0,"",MAX(0,MIN($C19,$E$4-($T19-$C19))))</f>
        <v/>
      </c>
      <c r="H19" s="36" t="str">
        <f aca="false">IF($C19=0,"",$C19-$G19)</f>
        <v/>
      </c>
      <c r="J19" s="24" t="str">
        <f aca="false">IF($L19=0,"",DIARIO!$A15)</f>
        <v/>
      </c>
      <c r="K19" s="33" t="str">
        <f aca="false">IF($L19=0,"",DIARIO!$B15)</f>
        <v/>
      </c>
      <c r="L19" s="34" t="n">
        <f aca="false">IF(AND($S19="Sí",DIARIO!$F15=$B$2),N(DIARIO!$G15),0)</f>
        <v>0</v>
      </c>
      <c r="M19" s="36" t="str">
        <f aca="false">IF($L19=0,"",$U19)</f>
        <v/>
      </c>
      <c r="N19" s="37" t="str">
        <f aca="false">IF($L19=0,"",SUMPRODUCT($E$7:$E$106*((((($U19-($T$7:$T$106-$C$7:$C$106))+ABS(($U19-($T$7:$T$106-$C$7:$C$106))))/2)+$C$7:$C$106-ABS(((($U19-($T$7:$T$106-$C$7:$C$106))+ABS(($U19-($T$7:$T$106-$C$7:$C$106))))/2)-$C$7:$C$106))/2))-SUMPRODUCT($E$7:$E$106*(((((($U19-$L19)-($T$7:$T$106-$C$7:$C$106))+ABS((($U19-$L19)-($T$7:$T$106-$C$7:$C$106))))/2)+$C$7:$C$106-ABS((((($U19-$L19)-($T$7:$T$106-$C$7:$C$106))+ABS((($U19-$L19)-($T$7:$T$106-$C$7:$C$106))))/2)-$C$7:$C$106))/2)))</f>
        <v/>
      </c>
      <c r="O19" s="37" t="str">
        <f aca="false">IF($L19=0,"",N(DIARIO!$L15)-IF(DIARIO!$K15="EUR",N(DIARIO!$J15),0))</f>
        <v/>
      </c>
      <c r="P19" s="37" t="str">
        <f aca="false">IF($L19=0,"",$O19-$N19)</f>
        <v/>
      </c>
      <c r="R19" s="38" t="str">
        <f aca="false">IF(DIARIO!$C15="","",IFERROR(INDEX(PARÁMETROS!$D$5:$D$15,MATCH(DIARIO!$C15,PARÁMETROS!$A$5:$A$15,0)),""))</f>
        <v/>
      </c>
      <c r="S19" s="38" t="str">
        <f aca="false">IF(DIARIO!$C15="","",IFERROR(INDEX(PARÁMETROS!$E$5:$E$15,MATCH(DIARIO!$C15,PARÁMETROS!$A$5:$A$15,0)),""))</f>
        <v/>
      </c>
      <c r="T19" s="39" t="n">
        <f aca="false">SUM($C$7:$C19)</f>
        <v>0.55</v>
      </c>
      <c r="U19" s="39" t="n">
        <f aca="false">SUM($L$7:$L19)</f>
        <v>0</v>
      </c>
    </row>
    <row r="20" customFormat="false" ht="15" hidden="false" customHeight="false" outlineLevel="0" collapsed="false">
      <c r="A20" s="24" t="str">
        <f aca="false">IF($C20=0,"",DIARIO!$A16)</f>
        <v/>
      </c>
      <c r="B20" s="33" t="str">
        <f aca="false">IF($C20=0,"",DIARIO!$B16)</f>
        <v/>
      </c>
      <c r="C20" s="34" t="n">
        <f aca="false">IF(AND($R20="Sí",DIARIO!$H16=$B$2),N(DIARIO!$I16),0)</f>
        <v>0</v>
      </c>
      <c r="D20" s="35" t="n">
        <f aca="false">IF($C20=0,0,N(DIARIO!$L16)+IF(DIARIO!$K16="EUR",N(DIARIO!$J16),0))</f>
        <v>0</v>
      </c>
      <c r="E20" s="35" t="n">
        <f aca="false">IF($C20=0,0,$D20/$C20)</f>
        <v>0</v>
      </c>
      <c r="F20" s="36" t="str">
        <f aca="false">IF($C20=0,"",$T20)</f>
        <v/>
      </c>
      <c r="G20" s="36" t="str">
        <f aca="false">IF($C20=0,"",MAX(0,MIN($C20,$E$4-($T20-$C20))))</f>
        <v/>
      </c>
      <c r="H20" s="36" t="str">
        <f aca="false">IF($C20=0,"",$C20-$G20)</f>
        <v/>
      </c>
      <c r="J20" s="24" t="str">
        <f aca="false">IF($L20=0,"",DIARIO!$A16)</f>
        <v/>
      </c>
      <c r="K20" s="33" t="str">
        <f aca="false">IF($L20=0,"",DIARIO!$B16)</f>
        <v/>
      </c>
      <c r="L20" s="34" t="n">
        <f aca="false">IF(AND($S20="Sí",DIARIO!$F16=$B$2),N(DIARIO!$G16),0)</f>
        <v>0</v>
      </c>
      <c r="M20" s="36" t="str">
        <f aca="false">IF($L20=0,"",$U20)</f>
        <v/>
      </c>
      <c r="N20" s="37" t="str">
        <f aca="false">IF($L20=0,"",SUMPRODUCT($E$7:$E$106*((((($U20-($T$7:$T$106-$C$7:$C$106))+ABS(($U20-($T$7:$T$106-$C$7:$C$106))))/2)+$C$7:$C$106-ABS(((($U20-($T$7:$T$106-$C$7:$C$106))+ABS(($U20-($T$7:$T$106-$C$7:$C$106))))/2)-$C$7:$C$106))/2))-SUMPRODUCT($E$7:$E$106*(((((($U20-$L20)-($T$7:$T$106-$C$7:$C$106))+ABS((($U20-$L20)-($T$7:$T$106-$C$7:$C$106))))/2)+$C$7:$C$106-ABS((((($U20-$L20)-($T$7:$T$106-$C$7:$C$106))+ABS((($U20-$L20)-($T$7:$T$106-$C$7:$C$106))))/2)-$C$7:$C$106))/2)))</f>
        <v/>
      </c>
      <c r="O20" s="37" t="str">
        <f aca="false">IF($L20=0,"",N(DIARIO!$L16)-IF(DIARIO!$K16="EUR",N(DIARIO!$J16),0))</f>
        <v/>
      </c>
      <c r="P20" s="37" t="str">
        <f aca="false">IF($L20=0,"",$O20-$N20)</f>
        <v/>
      </c>
      <c r="R20" s="38" t="str">
        <f aca="false">IF(DIARIO!$C16="","",IFERROR(INDEX(PARÁMETROS!$D$5:$D$15,MATCH(DIARIO!$C16,PARÁMETROS!$A$5:$A$15,0)),""))</f>
        <v/>
      </c>
      <c r="S20" s="38" t="str">
        <f aca="false">IF(DIARIO!$C16="","",IFERROR(INDEX(PARÁMETROS!$E$5:$E$15,MATCH(DIARIO!$C16,PARÁMETROS!$A$5:$A$15,0)),""))</f>
        <v/>
      </c>
      <c r="T20" s="39" t="n">
        <f aca="false">SUM($C$7:$C20)</f>
        <v>0.55</v>
      </c>
      <c r="U20" s="39" t="n">
        <f aca="false">SUM($L$7:$L20)</f>
        <v>0</v>
      </c>
    </row>
    <row r="21" customFormat="false" ht="15" hidden="false" customHeight="false" outlineLevel="0" collapsed="false">
      <c r="A21" s="24" t="str">
        <f aca="false">IF($C21=0,"",DIARIO!$A17)</f>
        <v/>
      </c>
      <c r="B21" s="33" t="str">
        <f aca="false">IF($C21=0,"",DIARIO!$B17)</f>
        <v/>
      </c>
      <c r="C21" s="34" t="n">
        <f aca="false">IF(AND($R21="Sí",DIARIO!$H17=$B$2),N(DIARIO!$I17),0)</f>
        <v>0</v>
      </c>
      <c r="D21" s="35" t="n">
        <f aca="false">IF($C21=0,0,N(DIARIO!$L17)+IF(DIARIO!$K17="EUR",N(DIARIO!$J17),0))</f>
        <v>0</v>
      </c>
      <c r="E21" s="35" t="n">
        <f aca="false">IF($C21=0,0,$D21/$C21)</f>
        <v>0</v>
      </c>
      <c r="F21" s="36" t="str">
        <f aca="false">IF($C21=0,"",$T21)</f>
        <v/>
      </c>
      <c r="G21" s="36" t="str">
        <f aca="false">IF($C21=0,"",MAX(0,MIN($C21,$E$4-($T21-$C21))))</f>
        <v/>
      </c>
      <c r="H21" s="36" t="str">
        <f aca="false">IF($C21=0,"",$C21-$G21)</f>
        <v/>
      </c>
      <c r="J21" s="24" t="str">
        <f aca="false">IF($L21=0,"",DIARIO!$A17)</f>
        <v/>
      </c>
      <c r="K21" s="33" t="str">
        <f aca="false">IF($L21=0,"",DIARIO!$B17)</f>
        <v/>
      </c>
      <c r="L21" s="34" t="n">
        <f aca="false">IF(AND($S21="Sí",DIARIO!$F17=$B$2),N(DIARIO!$G17),0)</f>
        <v>0</v>
      </c>
      <c r="M21" s="36" t="str">
        <f aca="false">IF($L21=0,"",$U21)</f>
        <v/>
      </c>
      <c r="N21" s="37" t="str">
        <f aca="false">IF($L21=0,"",SUMPRODUCT($E$7:$E$106*((((($U21-($T$7:$T$106-$C$7:$C$106))+ABS(($U21-($T$7:$T$106-$C$7:$C$106))))/2)+$C$7:$C$106-ABS(((($U21-($T$7:$T$106-$C$7:$C$106))+ABS(($U21-($T$7:$T$106-$C$7:$C$106))))/2)-$C$7:$C$106))/2))-SUMPRODUCT($E$7:$E$106*(((((($U21-$L21)-($T$7:$T$106-$C$7:$C$106))+ABS((($U21-$L21)-($T$7:$T$106-$C$7:$C$106))))/2)+$C$7:$C$106-ABS((((($U21-$L21)-($T$7:$T$106-$C$7:$C$106))+ABS((($U21-$L21)-($T$7:$T$106-$C$7:$C$106))))/2)-$C$7:$C$106))/2)))</f>
        <v/>
      </c>
      <c r="O21" s="37" t="str">
        <f aca="false">IF($L21=0,"",N(DIARIO!$L17)-IF(DIARIO!$K17="EUR",N(DIARIO!$J17),0))</f>
        <v/>
      </c>
      <c r="P21" s="37" t="str">
        <f aca="false">IF($L21=0,"",$O21-$N21)</f>
        <v/>
      </c>
      <c r="R21" s="38" t="str">
        <f aca="false">IF(DIARIO!$C17="","",IFERROR(INDEX(PARÁMETROS!$D$5:$D$15,MATCH(DIARIO!$C17,PARÁMETROS!$A$5:$A$15,0)),""))</f>
        <v/>
      </c>
      <c r="S21" s="38" t="str">
        <f aca="false">IF(DIARIO!$C17="","",IFERROR(INDEX(PARÁMETROS!$E$5:$E$15,MATCH(DIARIO!$C17,PARÁMETROS!$A$5:$A$15,0)),""))</f>
        <v/>
      </c>
      <c r="T21" s="39" t="n">
        <f aca="false">SUM($C$7:$C21)</f>
        <v>0.55</v>
      </c>
      <c r="U21" s="39" t="n">
        <f aca="false">SUM($L$7:$L21)</f>
        <v>0</v>
      </c>
    </row>
    <row r="22" customFormat="false" ht="15" hidden="false" customHeight="false" outlineLevel="0" collapsed="false">
      <c r="A22" s="24" t="str">
        <f aca="false">IF($C22=0,"",DIARIO!$A18)</f>
        <v/>
      </c>
      <c r="B22" s="33" t="str">
        <f aca="false">IF($C22=0,"",DIARIO!$B18)</f>
        <v/>
      </c>
      <c r="C22" s="34" t="n">
        <f aca="false">IF(AND($R22="Sí",DIARIO!$H18=$B$2),N(DIARIO!$I18),0)</f>
        <v>0</v>
      </c>
      <c r="D22" s="35" t="n">
        <f aca="false">IF($C22=0,0,N(DIARIO!$L18)+IF(DIARIO!$K18="EUR",N(DIARIO!$J18),0))</f>
        <v>0</v>
      </c>
      <c r="E22" s="35" t="n">
        <f aca="false">IF($C22=0,0,$D22/$C22)</f>
        <v>0</v>
      </c>
      <c r="F22" s="36" t="str">
        <f aca="false">IF($C22=0,"",$T22)</f>
        <v/>
      </c>
      <c r="G22" s="36" t="str">
        <f aca="false">IF($C22=0,"",MAX(0,MIN($C22,$E$4-($T22-$C22))))</f>
        <v/>
      </c>
      <c r="H22" s="36" t="str">
        <f aca="false">IF($C22=0,"",$C22-$G22)</f>
        <v/>
      </c>
      <c r="J22" s="24" t="str">
        <f aca="false">IF($L22=0,"",DIARIO!$A18)</f>
        <v/>
      </c>
      <c r="K22" s="33" t="str">
        <f aca="false">IF($L22=0,"",DIARIO!$B18)</f>
        <v/>
      </c>
      <c r="L22" s="34" t="n">
        <f aca="false">IF(AND($S22="Sí",DIARIO!$F18=$B$2),N(DIARIO!$G18),0)</f>
        <v>0</v>
      </c>
      <c r="M22" s="36" t="str">
        <f aca="false">IF($L22=0,"",$U22)</f>
        <v/>
      </c>
      <c r="N22" s="37" t="str">
        <f aca="false">IF($L22=0,"",SUMPRODUCT($E$7:$E$106*((((($U22-($T$7:$T$106-$C$7:$C$106))+ABS(($U22-($T$7:$T$106-$C$7:$C$106))))/2)+$C$7:$C$106-ABS(((($U22-($T$7:$T$106-$C$7:$C$106))+ABS(($U22-($T$7:$T$106-$C$7:$C$106))))/2)-$C$7:$C$106))/2))-SUMPRODUCT($E$7:$E$106*(((((($U22-$L22)-($T$7:$T$106-$C$7:$C$106))+ABS((($U22-$L22)-($T$7:$T$106-$C$7:$C$106))))/2)+$C$7:$C$106-ABS((((($U22-$L22)-($T$7:$T$106-$C$7:$C$106))+ABS((($U22-$L22)-($T$7:$T$106-$C$7:$C$106))))/2)-$C$7:$C$106))/2)))</f>
        <v/>
      </c>
      <c r="O22" s="37" t="str">
        <f aca="false">IF($L22=0,"",N(DIARIO!$L18)-IF(DIARIO!$K18="EUR",N(DIARIO!$J18),0))</f>
        <v/>
      </c>
      <c r="P22" s="37" t="str">
        <f aca="false">IF($L22=0,"",$O22-$N22)</f>
        <v/>
      </c>
      <c r="R22" s="38" t="str">
        <f aca="false">IF(DIARIO!$C18="","",IFERROR(INDEX(PARÁMETROS!$D$5:$D$15,MATCH(DIARIO!$C18,PARÁMETROS!$A$5:$A$15,0)),""))</f>
        <v/>
      </c>
      <c r="S22" s="38" t="str">
        <f aca="false">IF(DIARIO!$C18="","",IFERROR(INDEX(PARÁMETROS!$E$5:$E$15,MATCH(DIARIO!$C18,PARÁMETROS!$A$5:$A$15,0)),""))</f>
        <v/>
      </c>
      <c r="T22" s="39" t="n">
        <f aca="false">SUM($C$7:$C22)</f>
        <v>0.55</v>
      </c>
      <c r="U22" s="39" t="n">
        <f aca="false">SUM($L$7:$L22)</f>
        <v>0</v>
      </c>
    </row>
    <row r="23" customFormat="false" ht="15" hidden="false" customHeight="false" outlineLevel="0" collapsed="false">
      <c r="A23" s="24" t="str">
        <f aca="false">IF($C23=0,"",DIARIO!$A19)</f>
        <v/>
      </c>
      <c r="B23" s="33" t="str">
        <f aca="false">IF($C23=0,"",DIARIO!$B19)</f>
        <v/>
      </c>
      <c r="C23" s="34" t="n">
        <f aca="false">IF(AND($R23="Sí",DIARIO!$H19=$B$2),N(DIARIO!$I19),0)</f>
        <v>0</v>
      </c>
      <c r="D23" s="35" t="n">
        <f aca="false">IF($C23=0,0,N(DIARIO!$L19)+IF(DIARIO!$K19="EUR",N(DIARIO!$J19),0))</f>
        <v>0</v>
      </c>
      <c r="E23" s="35" t="n">
        <f aca="false">IF($C23=0,0,$D23/$C23)</f>
        <v>0</v>
      </c>
      <c r="F23" s="36" t="str">
        <f aca="false">IF($C23=0,"",$T23)</f>
        <v/>
      </c>
      <c r="G23" s="36" t="str">
        <f aca="false">IF($C23=0,"",MAX(0,MIN($C23,$E$4-($T23-$C23))))</f>
        <v/>
      </c>
      <c r="H23" s="36" t="str">
        <f aca="false">IF($C23=0,"",$C23-$G23)</f>
        <v/>
      </c>
      <c r="J23" s="24" t="str">
        <f aca="false">IF($L23=0,"",DIARIO!$A19)</f>
        <v/>
      </c>
      <c r="K23" s="33" t="str">
        <f aca="false">IF($L23=0,"",DIARIO!$B19)</f>
        <v/>
      </c>
      <c r="L23" s="34" t="n">
        <f aca="false">IF(AND($S23="Sí",DIARIO!$F19=$B$2),N(DIARIO!$G19),0)</f>
        <v>0</v>
      </c>
      <c r="M23" s="36" t="str">
        <f aca="false">IF($L23=0,"",$U23)</f>
        <v/>
      </c>
      <c r="N23" s="37" t="str">
        <f aca="false">IF($L23=0,"",SUMPRODUCT($E$7:$E$106*((((($U23-($T$7:$T$106-$C$7:$C$106))+ABS(($U23-($T$7:$T$106-$C$7:$C$106))))/2)+$C$7:$C$106-ABS(((($U23-($T$7:$T$106-$C$7:$C$106))+ABS(($U23-($T$7:$T$106-$C$7:$C$106))))/2)-$C$7:$C$106))/2))-SUMPRODUCT($E$7:$E$106*(((((($U23-$L23)-($T$7:$T$106-$C$7:$C$106))+ABS((($U23-$L23)-($T$7:$T$106-$C$7:$C$106))))/2)+$C$7:$C$106-ABS((((($U23-$L23)-($T$7:$T$106-$C$7:$C$106))+ABS((($U23-$L23)-($T$7:$T$106-$C$7:$C$106))))/2)-$C$7:$C$106))/2)))</f>
        <v/>
      </c>
      <c r="O23" s="37" t="str">
        <f aca="false">IF($L23=0,"",N(DIARIO!$L19)-IF(DIARIO!$K19="EUR",N(DIARIO!$J19),0))</f>
        <v/>
      </c>
      <c r="P23" s="37" t="str">
        <f aca="false">IF($L23=0,"",$O23-$N23)</f>
        <v/>
      </c>
      <c r="R23" s="38" t="str">
        <f aca="false">IF(DIARIO!$C19="","",IFERROR(INDEX(PARÁMETROS!$D$5:$D$15,MATCH(DIARIO!$C19,PARÁMETROS!$A$5:$A$15,0)),""))</f>
        <v/>
      </c>
      <c r="S23" s="38" t="str">
        <f aca="false">IF(DIARIO!$C19="","",IFERROR(INDEX(PARÁMETROS!$E$5:$E$15,MATCH(DIARIO!$C19,PARÁMETROS!$A$5:$A$15,0)),""))</f>
        <v/>
      </c>
      <c r="T23" s="39" t="n">
        <f aca="false">SUM($C$7:$C23)</f>
        <v>0.55</v>
      </c>
      <c r="U23" s="39" t="n">
        <f aca="false">SUM($L$7:$L23)</f>
        <v>0</v>
      </c>
    </row>
    <row r="24" customFormat="false" ht="15" hidden="false" customHeight="false" outlineLevel="0" collapsed="false">
      <c r="A24" s="24" t="str">
        <f aca="false">IF($C24=0,"",DIARIO!$A20)</f>
        <v/>
      </c>
      <c r="B24" s="33" t="str">
        <f aca="false">IF($C24=0,"",DIARIO!$B20)</f>
        <v/>
      </c>
      <c r="C24" s="34" t="n">
        <f aca="false">IF(AND($R24="Sí",DIARIO!$H20=$B$2),N(DIARIO!$I20),0)</f>
        <v>0</v>
      </c>
      <c r="D24" s="35" t="n">
        <f aca="false">IF($C24=0,0,N(DIARIO!$L20)+IF(DIARIO!$K20="EUR",N(DIARIO!$J20),0))</f>
        <v>0</v>
      </c>
      <c r="E24" s="35" t="n">
        <f aca="false">IF($C24=0,0,$D24/$C24)</f>
        <v>0</v>
      </c>
      <c r="F24" s="36" t="str">
        <f aca="false">IF($C24=0,"",$T24)</f>
        <v/>
      </c>
      <c r="G24" s="36" t="str">
        <f aca="false">IF($C24=0,"",MAX(0,MIN($C24,$E$4-($T24-$C24))))</f>
        <v/>
      </c>
      <c r="H24" s="36" t="str">
        <f aca="false">IF($C24=0,"",$C24-$G24)</f>
        <v/>
      </c>
      <c r="J24" s="24" t="str">
        <f aca="false">IF($L24=0,"",DIARIO!$A20)</f>
        <v/>
      </c>
      <c r="K24" s="33" t="str">
        <f aca="false">IF($L24=0,"",DIARIO!$B20)</f>
        <v/>
      </c>
      <c r="L24" s="34" t="n">
        <f aca="false">IF(AND($S24="Sí",DIARIO!$F20=$B$2),N(DIARIO!$G20),0)</f>
        <v>0</v>
      </c>
      <c r="M24" s="36" t="str">
        <f aca="false">IF($L24=0,"",$U24)</f>
        <v/>
      </c>
      <c r="N24" s="37" t="str">
        <f aca="false">IF($L24=0,"",SUMPRODUCT($E$7:$E$106*((((($U24-($T$7:$T$106-$C$7:$C$106))+ABS(($U24-($T$7:$T$106-$C$7:$C$106))))/2)+$C$7:$C$106-ABS(((($U24-($T$7:$T$106-$C$7:$C$106))+ABS(($U24-($T$7:$T$106-$C$7:$C$106))))/2)-$C$7:$C$106))/2))-SUMPRODUCT($E$7:$E$106*(((((($U24-$L24)-($T$7:$T$106-$C$7:$C$106))+ABS((($U24-$L24)-($T$7:$T$106-$C$7:$C$106))))/2)+$C$7:$C$106-ABS((((($U24-$L24)-($T$7:$T$106-$C$7:$C$106))+ABS((($U24-$L24)-($T$7:$T$106-$C$7:$C$106))))/2)-$C$7:$C$106))/2)))</f>
        <v/>
      </c>
      <c r="O24" s="37" t="str">
        <f aca="false">IF($L24=0,"",N(DIARIO!$L20)-IF(DIARIO!$K20="EUR",N(DIARIO!$J20),0))</f>
        <v/>
      </c>
      <c r="P24" s="37" t="str">
        <f aca="false">IF($L24=0,"",$O24-$N24)</f>
        <v/>
      </c>
      <c r="R24" s="38" t="str">
        <f aca="false">IF(DIARIO!$C20="","",IFERROR(INDEX(PARÁMETROS!$D$5:$D$15,MATCH(DIARIO!$C20,PARÁMETROS!$A$5:$A$15,0)),""))</f>
        <v/>
      </c>
      <c r="S24" s="38" t="str">
        <f aca="false">IF(DIARIO!$C20="","",IFERROR(INDEX(PARÁMETROS!$E$5:$E$15,MATCH(DIARIO!$C20,PARÁMETROS!$A$5:$A$15,0)),""))</f>
        <v/>
      </c>
      <c r="T24" s="39" t="n">
        <f aca="false">SUM($C$7:$C24)</f>
        <v>0.55</v>
      </c>
      <c r="U24" s="39" t="n">
        <f aca="false">SUM($L$7:$L24)</f>
        <v>0</v>
      </c>
    </row>
    <row r="25" customFormat="false" ht="15" hidden="false" customHeight="false" outlineLevel="0" collapsed="false">
      <c r="A25" s="24" t="str">
        <f aca="false">IF($C25=0,"",DIARIO!$A21)</f>
        <v/>
      </c>
      <c r="B25" s="33" t="str">
        <f aca="false">IF($C25=0,"",DIARIO!$B21)</f>
        <v/>
      </c>
      <c r="C25" s="34" t="n">
        <f aca="false">IF(AND($R25="Sí",DIARIO!$H21=$B$2),N(DIARIO!$I21),0)</f>
        <v>0</v>
      </c>
      <c r="D25" s="35" t="n">
        <f aca="false">IF($C25=0,0,N(DIARIO!$L21)+IF(DIARIO!$K21="EUR",N(DIARIO!$J21),0))</f>
        <v>0</v>
      </c>
      <c r="E25" s="35" t="n">
        <f aca="false">IF($C25=0,0,$D25/$C25)</f>
        <v>0</v>
      </c>
      <c r="F25" s="36" t="str">
        <f aca="false">IF($C25=0,"",$T25)</f>
        <v/>
      </c>
      <c r="G25" s="36" t="str">
        <f aca="false">IF($C25=0,"",MAX(0,MIN($C25,$E$4-($T25-$C25))))</f>
        <v/>
      </c>
      <c r="H25" s="36" t="str">
        <f aca="false">IF($C25=0,"",$C25-$G25)</f>
        <v/>
      </c>
      <c r="J25" s="24" t="str">
        <f aca="false">IF($L25=0,"",DIARIO!$A21)</f>
        <v/>
      </c>
      <c r="K25" s="33" t="str">
        <f aca="false">IF($L25=0,"",DIARIO!$B21)</f>
        <v/>
      </c>
      <c r="L25" s="34" t="n">
        <f aca="false">IF(AND($S25="Sí",DIARIO!$F21=$B$2),N(DIARIO!$G21),0)</f>
        <v>0</v>
      </c>
      <c r="M25" s="36" t="str">
        <f aca="false">IF($L25=0,"",$U25)</f>
        <v/>
      </c>
      <c r="N25" s="37" t="str">
        <f aca="false">IF($L25=0,"",SUMPRODUCT($E$7:$E$106*((((($U25-($T$7:$T$106-$C$7:$C$106))+ABS(($U25-($T$7:$T$106-$C$7:$C$106))))/2)+$C$7:$C$106-ABS(((($U25-($T$7:$T$106-$C$7:$C$106))+ABS(($U25-($T$7:$T$106-$C$7:$C$106))))/2)-$C$7:$C$106))/2))-SUMPRODUCT($E$7:$E$106*(((((($U25-$L25)-($T$7:$T$106-$C$7:$C$106))+ABS((($U25-$L25)-($T$7:$T$106-$C$7:$C$106))))/2)+$C$7:$C$106-ABS((((($U25-$L25)-($T$7:$T$106-$C$7:$C$106))+ABS((($U25-$L25)-($T$7:$T$106-$C$7:$C$106))))/2)-$C$7:$C$106))/2)))</f>
        <v/>
      </c>
      <c r="O25" s="37" t="str">
        <f aca="false">IF($L25=0,"",N(DIARIO!$L21)-IF(DIARIO!$K21="EUR",N(DIARIO!$J21),0))</f>
        <v/>
      </c>
      <c r="P25" s="37" t="str">
        <f aca="false">IF($L25=0,"",$O25-$N25)</f>
        <v/>
      </c>
      <c r="R25" s="38" t="str">
        <f aca="false">IF(DIARIO!$C21="","",IFERROR(INDEX(PARÁMETROS!$D$5:$D$15,MATCH(DIARIO!$C21,PARÁMETROS!$A$5:$A$15,0)),""))</f>
        <v/>
      </c>
      <c r="S25" s="38" t="str">
        <f aca="false">IF(DIARIO!$C21="","",IFERROR(INDEX(PARÁMETROS!$E$5:$E$15,MATCH(DIARIO!$C21,PARÁMETROS!$A$5:$A$15,0)),""))</f>
        <v/>
      </c>
      <c r="T25" s="39" t="n">
        <f aca="false">SUM($C$7:$C25)</f>
        <v>0.55</v>
      </c>
      <c r="U25" s="39" t="n">
        <f aca="false">SUM($L$7:$L25)</f>
        <v>0</v>
      </c>
    </row>
    <row r="26" customFormat="false" ht="15" hidden="false" customHeight="false" outlineLevel="0" collapsed="false">
      <c r="A26" s="24" t="str">
        <f aca="false">IF($C26=0,"",DIARIO!$A22)</f>
        <v/>
      </c>
      <c r="B26" s="33" t="str">
        <f aca="false">IF($C26=0,"",DIARIO!$B22)</f>
        <v/>
      </c>
      <c r="C26" s="34" t="n">
        <f aca="false">IF(AND($R26="Sí",DIARIO!$H22=$B$2),N(DIARIO!$I22),0)</f>
        <v>0</v>
      </c>
      <c r="D26" s="35" t="n">
        <f aca="false">IF($C26=0,0,N(DIARIO!$L22)+IF(DIARIO!$K22="EUR",N(DIARIO!$J22),0))</f>
        <v>0</v>
      </c>
      <c r="E26" s="35" t="n">
        <f aca="false">IF($C26=0,0,$D26/$C26)</f>
        <v>0</v>
      </c>
      <c r="F26" s="36" t="str">
        <f aca="false">IF($C26=0,"",$T26)</f>
        <v/>
      </c>
      <c r="G26" s="36" t="str">
        <f aca="false">IF($C26=0,"",MAX(0,MIN($C26,$E$4-($T26-$C26))))</f>
        <v/>
      </c>
      <c r="H26" s="36" t="str">
        <f aca="false">IF($C26=0,"",$C26-$G26)</f>
        <v/>
      </c>
      <c r="J26" s="24" t="str">
        <f aca="false">IF($L26=0,"",DIARIO!$A22)</f>
        <v/>
      </c>
      <c r="K26" s="33" t="str">
        <f aca="false">IF($L26=0,"",DIARIO!$B22)</f>
        <v/>
      </c>
      <c r="L26" s="34" t="n">
        <f aca="false">IF(AND($S26="Sí",DIARIO!$F22=$B$2),N(DIARIO!$G22),0)</f>
        <v>0</v>
      </c>
      <c r="M26" s="36" t="str">
        <f aca="false">IF($L26=0,"",$U26)</f>
        <v/>
      </c>
      <c r="N26" s="37" t="str">
        <f aca="false">IF($L26=0,"",SUMPRODUCT($E$7:$E$106*((((($U26-($T$7:$T$106-$C$7:$C$106))+ABS(($U26-($T$7:$T$106-$C$7:$C$106))))/2)+$C$7:$C$106-ABS(((($U26-($T$7:$T$106-$C$7:$C$106))+ABS(($U26-($T$7:$T$106-$C$7:$C$106))))/2)-$C$7:$C$106))/2))-SUMPRODUCT($E$7:$E$106*(((((($U26-$L26)-($T$7:$T$106-$C$7:$C$106))+ABS((($U26-$L26)-($T$7:$T$106-$C$7:$C$106))))/2)+$C$7:$C$106-ABS((((($U26-$L26)-($T$7:$T$106-$C$7:$C$106))+ABS((($U26-$L26)-($T$7:$T$106-$C$7:$C$106))))/2)-$C$7:$C$106))/2)))</f>
        <v/>
      </c>
      <c r="O26" s="37" t="str">
        <f aca="false">IF($L26=0,"",N(DIARIO!$L22)-IF(DIARIO!$K22="EUR",N(DIARIO!$J22),0))</f>
        <v/>
      </c>
      <c r="P26" s="37" t="str">
        <f aca="false">IF($L26=0,"",$O26-$N26)</f>
        <v/>
      </c>
      <c r="R26" s="38" t="str">
        <f aca="false">IF(DIARIO!$C22="","",IFERROR(INDEX(PARÁMETROS!$D$5:$D$15,MATCH(DIARIO!$C22,PARÁMETROS!$A$5:$A$15,0)),""))</f>
        <v/>
      </c>
      <c r="S26" s="38" t="str">
        <f aca="false">IF(DIARIO!$C22="","",IFERROR(INDEX(PARÁMETROS!$E$5:$E$15,MATCH(DIARIO!$C22,PARÁMETROS!$A$5:$A$15,0)),""))</f>
        <v/>
      </c>
      <c r="T26" s="39" t="n">
        <f aca="false">SUM($C$7:$C26)</f>
        <v>0.55</v>
      </c>
      <c r="U26" s="39" t="n">
        <f aca="false">SUM($L$7:$L26)</f>
        <v>0</v>
      </c>
    </row>
    <row r="27" customFormat="false" ht="15" hidden="false" customHeight="false" outlineLevel="0" collapsed="false">
      <c r="A27" s="24" t="str">
        <f aca="false">IF($C27=0,"",DIARIO!$A23)</f>
        <v/>
      </c>
      <c r="B27" s="33" t="str">
        <f aca="false">IF($C27=0,"",DIARIO!$B23)</f>
        <v/>
      </c>
      <c r="C27" s="34" t="n">
        <f aca="false">IF(AND($R27="Sí",DIARIO!$H23=$B$2),N(DIARIO!$I23),0)</f>
        <v>0</v>
      </c>
      <c r="D27" s="35" t="n">
        <f aca="false">IF($C27=0,0,N(DIARIO!$L23)+IF(DIARIO!$K23="EUR",N(DIARIO!$J23),0))</f>
        <v>0</v>
      </c>
      <c r="E27" s="35" t="n">
        <f aca="false">IF($C27=0,0,$D27/$C27)</f>
        <v>0</v>
      </c>
      <c r="F27" s="36" t="str">
        <f aca="false">IF($C27=0,"",$T27)</f>
        <v/>
      </c>
      <c r="G27" s="36" t="str">
        <f aca="false">IF($C27=0,"",MAX(0,MIN($C27,$E$4-($T27-$C27))))</f>
        <v/>
      </c>
      <c r="H27" s="36" t="str">
        <f aca="false">IF($C27=0,"",$C27-$G27)</f>
        <v/>
      </c>
      <c r="J27" s="24" t="str">
        <f aca="false">IF($L27=0,"",DIARIO!$A23)</f>
        <v/>
      </c>
      <c r="K27" s="33" t="str">
        <f aca="false">IF($L27=0,"",DIARIO!$B23)</f>
        <v/>
      </c>
      <c r="L27" s="34" t="n">
        <f aca="false">IF(AND($S27="Sí",DIARIO!$F23=$B$2),N(DIARIO!$G23),0)</f>
        <v>0</v>
      </c>
      <c r="M27" s="36" t="str">
        <f aca="false">IF($L27=0,"",$U27)</f>
        <v/>
      </c>
      <c r="N27" s="37" t="str">
        <f aca="false">IF($L27=0,"",SUMPRODUCT($E$7:$E$106*((((($U27-($T$7:$T$106-$C$7:$C$106))+ABS(($U27-($T$7:$T$106-$C$7:$C$106))))/2)+$C$7:$C$106-ABS(((($U27-($T$7:$T$106-$C$7:$C$106))+ABS(($U27-($T$7:$T$106-$C$7:$C$106))))/2)-$C$7:$C$106))/2))-SUMPRODUCT($E$7:$E$106*(((((($U27-$L27)-($T$7:$T$106-$C$7:$C$106))+ABS((($U27-$L27)-($T$7:$T$106-$C$7:$C$106))))/2)+$C$7:$C$106-ABS((((($U27-$L27)-($T$7:$T$106-$C$7:$C$106))+ABS((($U27-$L27)-($T$7:$T$106-$C$7:$C$106))))/2)-$C$7:$C$106))/2)))</f>
        <v/>
      </c>
      <c r="O27" s="37" t="str">
        <f aca="false">IF($L27=0,"",N(DIARIO!$L23)-IF(DIARIO!$K23="EUR",N(DIARIO!$J23),0))</f>
        <v/>
      </c>
      <c r="P27" s="37" t="str">
        <f aca="false">IF($L27=0,"",$O27-$N27)</f>
        <v/>
      </c>
      <c r="R27" s="38" t="str">
        <f aca="false">IF(DIARIO!$C23="","",IFERROR(INDEX(PARÁMETROS!$D$5:$D$15,MATCH(DIARIO!$C23,PARÁMETROS!$A$5:$A$15,0)),""))</f>
        <v/>
      </c>
      <c r="S27" s="38" t="str">
        <f aca="false">IF(DIARIO!$C23="","",IFERROR(INDEX(PARÁMETROS!$E$5:$E$15,MATCH(DIARIO!$C23,PARÁMETROS!$A$5:$A$15,0)),""))</f>
        <v/>
      </c>
      <c r="T27" s="39" t="n">
        <f aca="false">SUM($C$7:$C27)</f>
        <v>0.55</v>
      </c>
      <c r="U27" s="39" t="n">
        <f aca="false">SUM($L$7:$L27)</f>
        <v>0</v>
      </c>
    </row>
    <row r="28" customFormat="false" ht="15" hidden="false" customHeight="false" outlineLevel="0" collapsed="false">
      <c r="A28" s="24" t="str">
        <f aca="false">IF($C28=0,"",DIARIO!$A24)</f>
        <v/>
      </c>
      <c r="B28" s="33" t="str">
        <f aca="false">IF($C28=0,"",DIARIO!$B24)</f>
        <v/>
      </c>
      <c r="C28" s="34" t="n">
        <f aca="false">IF(AND($R28="Sí",DIARIO!$H24=$B$2),N(DIARIO!$I24),0)</f>
        <v>0</v>
      </c>
      <c r="D28" s="35" t="n">
        <f aca="false">IF($C28=0,0,N(DIARIO!$L24)+IF(DIARIO!$K24="EUR",N(DIARIO!$J24),0))</f>
        <v>0</v>
      </c>
      <c r="E28" s="35" t="n">
        <f aca="false">IF($C28=0,0,$D28/$C28)</f>
        <v>0</v>
      </c>
      <c r="F28" s="36" t="str">
        <f aca="false">IF($C28=0,"",$T28)</f>
        <v/>
      </c>
      <c r="G28" s="36" t="str">
        <f aca="false">IF($C28=0,"",MAX(0,MIN($C28,$E$4-($T28-$C28))))</f>
        <v/>
      </c>
      <c r="H28" s="36" t="str">
        <f aca="false">IF($C28=0,"",$C28-$G28)</f>
        <v/>
      </c>
      <c r="J28" s="24" t="str">
        <f aca="false">IF($L28=0,"",DIARIO!$A24)</f>
        <v/>
      </c>
      <c r="K28" s="33" t="str">
        <f aca="false">IF($L28=0,"",DIARIO!$B24)</f>
        <v/>
      </c>
      <c r="L28" s="34" t="n">
        <f aca="false">IF(AND($S28="Sí",DIARIO!$F24=$B$2),N(DIARIO!$G24),0)</f>
        <v>0</v>
      </c>
      <c r="M28" s="36" t="str">
        <f aca="false">IF($L28=0,"",$U28)</f>
        <v/>
      </c>
      <c r="N28" s="37" t="str">
        <f aca="false">IF($L28=0,"",SUMPRODUCT($E$7:$E$106*((((($U28-($T$7:$T$106-$C$7:$C$106))+ABS(($U28-($T$7:$T$106-$C$7:$C$106))))/2)+$C$7:$C$106-ABS(((($U28-($T$7:$T$106-$C$7:$C$106))+ABS(($U28-($T$7:$T$106-$C$7:$C$106))))/2)-$C$7:$C$106))/2))-SUMPRODUCT($E$7:$E$106*(((((($U28-$L28)-($T$7:$T$106-$C$7:$C$106))+ABS((($U28-$L28)-($T$7:$T$106-$C$7:$C$106))))/2)+$C$7:$C$106-ABS((((($U28-$L28)-($T$7:$T$106-$C$7:$C$106))+ABS((($U28-$L28)-($T$7:$T$106-$C$7:$C$106))))/2)-$C$7:$C$106))/2)))</f>
        <v/>
      </c>
      <c r="O28" s="37" t="str">
        <f aca="false">IF($L28=0,"",N(DIARIO!$L24)-IF(DIARIO!$K24="EUR",N(DIARIO!$J24),0))</f>
        <v/>
      </c>
      <c r="P28" s="37" t="str">
        <f aca="false">IF($L28=0,"",$O28-$N28)</f>
        <v/>
      </c>
      <c r="R28" s="38" t="str">
        <f aca="false">IF(DIARIO!$C24="","",IFERROR(INDEX(PARÁMETROS!$D$5:$D$15,MATCH(DIARIO!$C24,PARÁMETROS!$A$5:$A$15,0)),""))</f>
        <v/>
      </c>
      <c r="S28" s="38" t="str">
        <f aca="false">IF(DIARIO!$C24="","",IFERROR(INDEX(PARÁMETROS!$E$5:$E$15,MATCH(DIARIO!$C24,PARÁMETROS!$A$5:$A$15,0)),""))</f>
        <v/>
      </c>
      <c r="T28" s="39" t="n">
        <f aca="false">SUM($C$7:$C28)</f>
        <v>0.55</v>
      </c>
      <c r="U28" s="39" t="n">
        <f aca="false">SUM($L$7:$L28)</f>
        <v>0</v>
      </c>
    </row>
    <row r="29" customFormat="false" ht="15" hidden="false" customHeight="false" outlineLevel="0" collapsed="false">
      <c r="A29" s="24" t="str">
        <f aca="false">IF($C29=0,"",DIARIO!$A25)</f>
        <v/>
      </c>
      <c r="B29" s="33" t="str">
        <f aca="false">IF($C29=0,"",DIARIO!$B25)</f>
        <v/>
      </c>
      <c r="C29" s="34" t="n">
        <f aca="false">IF(AND($R29="Sí",DIARIO!$H25=$B$2),N(DIARIO!$I25),0)</f>
        <v>0</v>
      </c>
      <c r="D29" s="35" t="n">
        <f aca="false">IF($C29=0,0,N(DIARIO!$L25)+IF(DIARIO!$K25="EUR",N(DIARIO!$J25),0))</f>
        <v>0</v>
      </c>
      <c r="E29" s="35" t="n">
        <f aca="false">IF($C29=0,0,$D29/$C29)</f>
        <v>0</v>
      </c>
      <c r="F29" s="36" t="str">
        <f aca="false">IF($C29=0,"",$T29)</f>
        <v/>
      </c>
      <c r="G29" s="36" t="str">
        <f aca="false">IF($C29=0,"",MAX(0,MIN($C29,$E$4-($T29-$C29))))</f>
        <v/>
      </c>
      <c r="H29" s="36" t="str">
        <f aca="false">IF($C29=0,"",$C29-$G29)</f>
        <v/>
      </c>
      <c r="J29" s="24" t="str">
        <f aca="false">IF($L29=0,"",DIARIO!$A25)</f>
        <v/>
      </c>
      <c r="K29" s="33" t="str">
        <f aca="false">IF($L29=0,"",DIARIO!$B25)</f>
        <v/>
      </c>
      <c r="L29" s="34" t="n">
        <f aca="false">IF(AND($S29="Sí",DIARIO!$F25=$B$2),N(DIARIO!$G25),0)</f>
        <v>0</v>
      </c>
      <c r="M29" s="36" t="str">
        <f aca="false">IF($L29=0,"",$U29)</f>
        <v/>
      </c>
      <c r="N29" s="37" t="str">
        <f aca="false">IF($L29=0,"",SUMPRODUCT($E$7:$E$106*((((($U29-($T$7:$T$106-$C$7:$C$106))+ABS(($U29-($T$7:$T$106-$C$7:$C$106))))/2)+$C$7:$C$106-ABS(((($U29-($T$7:$T$106-$C$7:$C$106))+ABS(($U29-($T$7:$T$106-$C$7:$C$106))))/2)-$C$7:$C$106))/2))-SUMPRODUCT($E$7:$E$106*(((((($U29-$L29)-($T$7:$T$106-$C$7:$C$106))+ABS((($U29-$L29)-($T$7:$T$106-$C$7:$C$106))))/2)+$C$7:$C$106-ABS((((($U29-$L29)-($T$7:$T$106-$C$7:$C$106))+ABS((($U29-$L29)-($T$7:$T$106-$C$7:$C$106))))/2)-$C$7:$C$106))/2)))</f>
        <v/>
      </c>
      <c r="O29" s="37" t="str">
        <f aca="false">IF($L29=0,"",N(DIARIO!$L25)-IF(DIARIO!$K25="EUR",N(DIARIO!$J25),0))</f>
        <v/>
      </c>
      <c r="P29" s="37" t="str">
        <f aca="false">IF($L29=0,"",$O29-$N29)</f>
        <v/>
      </c>
      <c r="R29" s="38" t="str">
        <f aca="false">IF(DIARIO!$C25="","",IFERROR(INDEX(PARÁMETROS!$D$5:$D$15,MATCH(DIARIO!$C25,PARÁMETROS!$A$5:$A$15,0)),""))</f>
        <v/>
      </c>
      <c r="S29" s="38" t="str">
        <f aca="false">IF(DIARIO!$C25="","",IFERROR(INDEX(PARÁMETROS!$E$5:$E$15,MATCH(DIARIO!$C25,PARÁMETROS!$A$5:$A$15,0)),""))</f>
        <v/>
      </c>
      <c r="T29" s="39" t="n">
        <f aca="false">SUM($C$7:$C29)</f>
        <v>0.55</v>
      </c>
      <c r="U29" s="39" t="n">
        <f aca="false">SUM($L$7:$L29)</f>
        <v>0</v>
      </c>
    </row>
    <row r="30" customFormat="false" ht="15" hidden="false" customHeight="false" outlineLevel="0" collapsed="false">
      <c r="A30" s="24" t="str">
        <f aca="false">IF($C30=0,"",DIARIO!$A26)</f>
        <v/>
      </c>
      <c r="B30" s="33" t="str">
        <f aca="false">IF($C30=0,"",DIARIO!$B26)</f>
        <v/>
      </c>
      <c r="C30" s="34" t="n">
        <f aca="false">IF(AND($R30="Sí",DIARIO!$H26=$B$2),N(DIARIO!$I26),0)</f>
        <v>0</v>
      </c>
      <c r="D30" s="35" t="n">
        <f aca="false">IF($C30=0,0,N(DIARIO!$L26)+IF(DIARIO!$K26="EUR",N(DIARIO!$J26),0))</f>
        <v>0</v>
      </c>
      <c r="E30" s="35" t="n">
        <f aca="false">IF($C30=0,0,$D30/$C30)</f>
        <v>0</v>
      </c>
      <c r="F30" s="36" t="str">
        <f aca="false">IF($C30=0,"",$T30)</f>
        <v/>
      </c>
      <c r="G30" s="36" t="str">
        <f aca="false">IF($C30=0,"",MAX(0,MIN($C30,$E$4-($T30-$C30))))</f>
        <v/>
      </c>
      <c r="H30" s="36" t="str">
        <f aca="false">IF($C30=0,"",$C30-$G30)</f>
        <v/>
      </c>
      <c r="J30" s="24" t="str">
        <f aca="false">IF($L30=0,"",DIARIO!$A26)</f>
        <v/>
      </c>
      <c r="K30" s="33" t="str">
        <f aca="false">IF($L30=0,"",DIARIO!$B26)</f>
        <v/>
      </c>
      <c r="L30" s="34" t="n">
        <f aca="false">IF(AND($S30="Sí",DIARIO!$F26=$B$2),N(DIARIO!$G26),0)</f>
        <v>0</v>
      </c>
      <c r="M30" s="36" t="str">
        <f aca="false">IF($L30=0,"",$U30)</f>
        <v/>
      </c>
      <c r="N30" s="37" t="str">
        <f aca="false">IF($L30=0,"",SUMPRODUCT($E$7:$E$106*((((($U30-($T$7:$T$106-$C$7:$C$106))+ABS(($U30-($T$7:$T$106-$C$7:$C$106))))/2)+$C$7:$C$106-ABS(((($U30-($T$7:$T$106-$C$7:$C$106))+ABS(($U30-($T$7:$T$106-$C$7:$C$106))))/2)-$C$7:$C$106))/2))-SUMPRODUCT($E$7:$E$106*(((((($U30-$L30)-($T$7:$T$106-$C$7:$C$106))+ABS((($U30-$L30)-($T$7:$T$106-$C$7:$C$106))))/2)+$C$7:$C$106-ABS((((($U30-$L30)-($T$7:$T$106-$C$7:$C$106))+ABS((($U30-$L30)-($T$7:$T$106-$C$7:$C$106))))/2)-$C$7:$C$106))/2)))</f>
        <v/>
      </c>
      <c r="O30" s="37" t="str">
        <f aca="false">IF($L30=0,"",N(DIARIO!$L26)-IF(DIARIO!$K26="EUR",N(DIARIO!$J26),0))</f>
        <v/>
      </c>
      <c r="P30" s="37" t="str">
        <f aca="false">IF($L30=0,"",$O30-$N30)</f>
        <v/>
      </c>
      <c r="R30" s="38" t="str">
        <f aca="false">IF(DIARIO!$C26="","",IFERROR(INDEX(PARÁMETROS!$D$5:$D$15,MATCH(DIARIO!$C26,PARÁMETROS!$A$5:$A$15,0)),""))</f>
        <v/>
      </c>
      <c r="S30" s="38" t="str">
        <f aca="false">IF(DIARIO!$C26="","",IFERROR(INDEX(PARÁMETROS!$E$5:$E$15,MATCH(DIARIO!$C26,PARÁMETROS!$A$5:$A$15,0)),""))</f>
        <v/>
      </c>
      <c r="T30" s="39" t="n">
        <f aca="false">SUM($C$7:$C30)</f>
        <v>0.55</v>
      </c>
      <c r="U30" s="39" t="n">
        <f aca="false">SUM($L$7:$L30)</f>
        <v>0</v>
      </c>
    </row>
    <row r="31" customFormat="false" ht="15" hidden="false" customHeight="false" outlineLevel="0" collapsed="false">
      <c r="A31" s="24" t="str">
        <f aca="false">IF($C31=0,"",DIARIO!$A27)</f>
        <v/>
      </c>
      <c r="B31" s="33" t="str">
        <f aca="false">IF($C31=0,"",DIARIO!$B27)</f>
        <v/>
      </c>
      <c r="C31" s="34" t="n">
        <f aca="false">IF(AND($R31="Sí",DIARIO!$H27=$B$2),N(DIARIO!$I27),0)</f>
        <v>0</v>
      </c>
      <c r="D31" s="35" t="n">
        <f aca="false">IF($C31=0,0,N(DIARIO!$L27)+IF(DIARIO!$K27="EUR",N(DIARIO!$J27),0))</f>
        <v>0</v>
      </c>
      <c r="E31" s="35" t="n">
        <f aca="false">IF($C31=0,0,$D31/$C31)</f>
        <v>0</v>
      </c>
      <c r="F31" s="36" t="str">
        <f aca="false">IF($C31=0,"",$T31)</f>
        <v/>
      </c>
      <c r="G31" s="36" t="str">
        <f aca="false">IF($C31=0,"",MAX(0,MIN($C31,$E$4-($T31-$C31))))</f>
        <v/>
      </c>
      <c r="H31" s="36" t="str">
        <f aca="false">IF($C31=0,"",$C31-$G31)</f>
        <v/>
      </c>
      <c r="J31" s="24" t="str">
        <f aca="false">IF($L31=0,"",DIARIO!$A27)</f>
        <v/>
      </c>
      <c r="K31" s="33" t="str">
        <f aca="false">IF($L31=0,"",DIARIO!$B27)</f>
        <v/>
      </c>
      <c r="L31" s="34" t="n">
        <f aca="false">IF(AND($S31="Sí",DIARIO!$F27=$B$2),N(DIARIO!$G27),0)</f>
        <v>0</v>
      </c>
      <c r="M31" s="36" t="str">
        <f aca="false">IF($L31=0,"",$U31)</f>
        <v/>
      </c>
      <c r="N31" s="37" t="str">
        <f aca="false">IF($L31=0,"",SUMPRODUCT($E$7:$E$106*((((($U31-($T$7:$T$106-$C$7:$C$106))+ABS(($U31-($T$7:$T$106-$C$7:$C$106))))/2)+$C$7:$C$106-ABS(((($U31-($T$7:$T$106-$C$7:$C$106))+ABS(($U31-($T$7:$T$106-$C$7:$C$106))))/2)-$C$7:$C$106))/2))-SUMPRODUCT($E$7:$E$106*(((((($U31-$L31)-($T$7:$T$106-$C$7:$C$106))+ABS((($U31-$L31)-($T$7:$T$106-$C$7:$C$106))))/2)+$C$7:$C$106-ABS((((($U31-$L31)-($T$7:$T$106-$C$7:$C$106))+ABS((($U31-$L31)-($T$7:$T$106-$C$7:$C$106))))/2)-$C$7:$C$106))/2)))</f>
        <v/>
      </c>
      <c r="O31" s="37" t="str">
        <f aca="false">IF($L31=0,"",N(DIARIO!$L27)-IF(DIARIO!$K27="EUR",N(DIARIO!$J27),0))</f>
        <v/>
      </c>
      <c r="P31" s="37" t="str">
        <f aca="false">IF($L31=0,"",$O31-$N31)</f>
        <v/>
      </c>
      <c r="R31" s="38" t="str">
        <f aca="false">IF(DIARIO!$C27="","",IFERROR(INDEX(PARÁMETROS!$D$5:$D$15,MATCH(DIARIO!$C27,PARÁMETROS!$A$5:$A$15,0)),""))</f>
        <v/>
      </c>
      <c r="S31" s="38" t="str">
        <f aca="false">IF(DIARIO!$C27="","",IFERROR(INDEX(PARÁMETROS!$E$5:$E$15,MATCH(DIARIO!$C27,PARÁMETROS!$A$5:$A$15,0)),""))</f>
        <v/>
      </c>
      <c r="T31" s="39" t="n">
        <f aca="false">SUM($C$7:$C31)</f>
        <v>0.55</v>
      </c>
      <c r="U31" s="39" t="n">
        <f aca="false">SUM($L$7:$L31)</f>
        <v>0</v>
      </c>
    </row>
    <row r="32" customFormat="false" ht="15" hidden="false" customHeight="false" outlineLevel="0" collapsed="false">
      <c r="A32" s="24" t="str">
        <f aca="false">IF($C32=0,"",DIARIO!$A28)</f>
        <v/>
      </c>
      <c r="B32" s="33" t="str">
        <f aca="false">IF($C32=0,"",DIARIO!$B28)</f>
        <v/>
      </c>
      <c r="C32" s="34" t="n">
        <f aca="false">IF(AND($R32="Sí",DIARIO!$H28=$B$2),N(DIARIO!$I28),0)</f>
        <v>0</v>
      </c>
      <c r="D32" s="35" t="n">
        <f aca="false">IF($C32=0,0,N(DIARIO!$L28)+IF(DIARIO!$K28="EUR",N(DIARIO!$J28),0))</f>
        <v>0</v>
      </c>
      <c r="E32" s="35" t="n">
        <f aca="false">IF($C32=0,0,$D32/$C32)</f>
        <v>0</v>
      </c>
      <c r="F32" s="36" t="str">
        <f aca="false">IF($C32=0,"",$T32)</f>
        <v/>
      </c>
      <c r="G32" s="36" t="str">
        <f aca="false">IF($C32=0,"",MAX(0,MIN($C32,$E$4-($T32-$C32))))</f>
        <v/>
      </c>
      <c r="H32" s="36" t="str">
        <f aca="false">IF($C32=0,"",$C32-$G32)</f>
        <v/>
      </c>
      <c r="J32" s="24" t="str">
        <f aca="false">IF($L32=0,"",DIARIO!$A28)</f>
        <v/>
      </c>
      <c r="K32" s="33" t="str">
        <f aca="false">IF($L32=0,"",DIARIO!$B28)</f>
        <v/>
      </c>
      <c r="L32" s="34" t="n">
        <f aca="false">IF(AND($S32="Sí",DIARIO!$F28=$B$2),N(DIARIO!$G28),0)</f>
        <v>0</v>
      </c>
      <c r="M32" s="36" t="str">
        <f aca="false">IF($L32=0,"",$U32)</f>
        <v/>
      </c>
      <c r="N32" s="37" t="str">
        <f aca="false">IF($L32=0,"",SUMPRODUCT($E$7:$E$106*((((($U32-($T$7:$T$106-$C$7:$C$106))+ABS(($U32-($T$7:$T$106-$C$7:$C$106))))/2)+$C$7:$C$106-ABS(((($U32-($T$7:$T$106-$C$7:$C$106))+ABS(($U32-($T$7:$T$106-$C$7:$C$106))))/2)-$C$7:$C$106))/2))-SUMPRODUCT($E$7:$E$106*(((((($U32-$L32)-($T$7:$T$106-$C$7:$C$106))+ABS((($U32-$L32)-($T$7:$T$106-$C$7:$C$106))))/2)+$C$7:$C$106-ABS((((($U32-$L32)-($T$7:$T$106-$C$7:$C$106))+ABS((($U32-$L32)-($T$7:$T$106-$C$7:$C$106))))/2)-$C$7:$C$106))/2)))</f>
        <v/>
      </c>
      <c r="O32" s="37" t="str">
        <f aca="false">IF($L32=0,"",N(DIARIO!$L28)-IF(DIARIO!$K28="EUR",N(DIARIO!$J28),0))</f>
        <v/>
      </c>
      <c r="P32" s="37" t="str">
        <f aca="false">IF($L32=0,"",$O32-$N32)</f>
        <v/>
      </c>
      <c r="R32" s="38" t="str">
        <f aca="false">IF(DIARIO!$C28="","",IFERROR(INDEX(PARÁMETROS!$D$5:$D$15,MATCH(DIARIO!$C28,PARÁMETROS!$A$5:$A$15,0)),""))</f>
        <v/>
      </c>
      <c r="S32" s="38" t="str">
        <f aca="false">IF(DIARIO!$C28="","",IFERROR(INDEX(PARÁMETROS!$E$5:$E$15,MATCH(DIARIO!$C28,PARÁMETROS!$A$5:$A$15,0)),""))</f>
        <v/>
      </c>
      <c r="T32" s="39" t="n">
        <f aca="false">SUM($C$7:$C32)</f>
        <v>0.55</v>
      </c>
      <c r="U32" s="39" t="n">
        <f aca="false">SUM($L$7:$L32)</f>
        <v>0</v>
      </c>
    </row>
    <row r="33" customFormat="false" ht="15" hidden="false" customHeight="false" outlineLevel="0" collapsed="false">
      <c r="A33" s="24" t="str">
        <f aca="false">IF($C33=0,"",DIARIO!$A29)</f>
        <v/>
      </c>
      <c r="B33" s="33" t="str">
        <f aca="false">IF($C33=0,"",DIARIO!$B29)</f>
        <v/>
      </c>
      <c r="C33" s="34" t="n">
        <f aca="false">IF(AND($R33="Sí",DIARIO!$H29=$B$2),N(DIARIO!$I29),0)</f>
        <v>0</v>
      </c>
      <c r="D33" s="35" t="n">
        <f aca="false">IF($C33=0,0,N(DIARIO!$L29)+IF(DIARIO!$K29="EUR",N(DIARIO!$J29),0))</f>
        <v>0</v>
      </c>
      <c r="E33" s="35" t="n">
        <f aca="false">IF($C33=0,0,$D33/$C33)</f>
        <v>0</v>
      </c>
      <c r="F33" s="36" t="str">
        <f aca="false">IF($C33=0,"",$T33)</f>
        <v/>
      </c>
      <c r="G33" s="36" t="str">
        <f aca="false">IF($C33=0,"",MAX(0,MIN($C33,$E$4-($T33-$C33))))</f>
        <v/>
      </c>
      <c r="H33" s="36" t="str">
        <f aca="false">IF($C33=0,"",$C33-$G33)</f>
        <v/>
      </c>
      <c r="J33" s="24" t="str">
        <f aca="false">IF($L33=0,"",DIARIO!$A29)</f>
        <v/>
      </c>
      <c r="K33" s="33" t="str">
        <f aca="false">IF($L33=0,"",DIARIO!$B29)</f>
        <v/>
      </c>
      <c r="L33" s="34" t="n">
        <f aca="false">IF(AND($S33="Sí",DIARIO!$F29=$B$2),N(DIARIO!$G29),0)</f>
        <v>0</v>
      </c>
      <c r="M33" s="36" t="str">
        <f aca="false">IF($L33=0,"",$U33)</f>
        <v/>
      </c>
      <c r="N33" s="37" t="str">
        <f aca="false">IF($L33=0,"",SUMPRODUCT($E$7:$E$106*((((($U33-($T$7:$T$106-$C$7:$C$106))+ABS(($U33-($T$7:$T$106-$C$7:$C$106))))/2)+$C$7:$C$106-ABS(((($U33-($T$7:$T$106-$C$7:$C$106))+ABS(($U33-($T$7:$T$106-$C$7:$C$106))))/2)-$C$7:$C$106))/2))-SUMPRODUCT($E$7:$E$106*(((((($U33-$L33)-($T$7:$T$106-$C$7:$C$106))+ABS((($U33-$L33)-($T$7:$T$106-$C$7:$C$106))))/2)+$C$7:$C$106-ABS((((($U33-$L33)-($T$7:$T$106-$C$7:$C$106))+ABS((($U33-$L33)-($T$7:$T$106-$C$7:$C$106))))/2)-$C$7:$C$106))/2)))</f>
        <v/>
      </c>
      <c r="O33" s="37" t="str">
        <f aca="false">IF($L33=0,"",N(DIARIO!$L29)-IF(DIARIO!$K29="EUR",N(DIARIO!$J29),0))</f>
        <v/>
      </c>
      <c r="P33" s="37" t="str">
        <f aca="false">IF($L33=0,"",$O33-$N33)</f>
        <v/>
      </c>
      <c r="R33" s="38" t="str">
        <f aca="false">IF(DIARIO!$C29="","",IFERROR(INDEX(PARÁMETROS!$D$5:$D$15,MATCH(DIARIO!$C29,PARÁMETROS!$A$5:$A$15,0)),""))</f>
        <v/>
      </c>
      <c r="S33" s="38" t="str">
        <f aca="false">IF(DIARIO!$C29="","",IFERROR(INDEX(PARÁMETROS!$E$5:$E$15,MATCH(DIARIO!$C29,PARÁMETROS!$A$5:$A$15,0)),""))</f>
        <v/>
      </c>
      <c r="T33" s="39" t="n">
        <f aca="false">SUM($C$7:$C33)</f>
        <v>0.55</v>
      </c>
      <c r="U33" s="39" t="n">
        <f aca="false">SUM($L$7:$L33)</f>
        <v>0</v>
      </c>
    </row>
    <row r="34" customFormat="false" ht="15" hidden="false" customHeight="false" outlineLevel="0" collapsed="false">
      <c r="A34" s="24" t="str">
        <f aca="false">IF($C34=0,"",DIARIO!$A30)</f>
        <v/>
      </c>
      <c r="B34" s="33" t="str">
        <f aca="false">IF($C34=0,"",DIARIO!$B30)</f>
        <v/>
      </c>
      <c r="C34" s="34" t="n">
        <f aca="false">IF(AND($R34="Sí",DIARIO!$H30=$B$2),N(DIARIO!$I30),0)</f>
        <v>0</v>
      </c>
      <c r="D34" s="35" t="n">
        <f aca="false">IF($C34=0,0,N(DIARIO!$L30)+IF(DIARIO!$K30="EUR",N(DIARIO!$J30),0))</f>
        <v>0</v>
      </c>
      <c r="E34" s="35" t="n">
        <f aca="false">IF($C34=0,0,$D34/$C34)</f>
        <v>0</v>
      </c>
      <c r="F34" s="36" t="str">
        <f aca="false">IF($C34=0,"",$T34)</f>
        <v/>
      </c>
      <c r="G34" s="36" t="str">
        <f aca="false">IF($C34=0,"",MAX(0,MIN($C34,$E$4-($T34-$C34))))</f>
        <v/>
      </c>
      <c r="H34" s="36" t="str">
        <f aca="false">IF($C34=0,"",$C34-$G34)</f>
        <v/>
      </c>
      <c r="J34" s="24" t="str">
        <f aca="false">IF($L34=0,"",DIARIO!$A30)</f>
        <v/>
      </c>
      <c r="K34" s="33" t="str">
        <f aca="false">IF($L34=0,"",DIARIO!$B30)</f>
        <v/>
      </c>
      <c r="L34" s="34" t="n">
        <f aca="false">IF(AND($S34="Sí",DIARIO!$F30=$B$2),N(DIARIO!$G30),0)</f>
        <v>0</v>
      </c>
      <c r="M34" s="36" t="str">
        <f aca="false">IF($L34=0,"",$U34)</f>
        <v/>
      </c>
      <c r="N34" s="37" t="str">
        <f aca="false">IF($L34=0,"",SUMPRODUCT($E$7:$E$106*((((($U34-($T$7:$T$106-$C$7:$C$106))+ABS(($U34-($T$7:$T$106-$C$7:$C$106))))/2)+$C$7:$C$106-ABS(((($U34-($T$7:$T$106-$C$7:$C$106))+ABS(($U34-($T$7:$T$106-$C$7:$C$106))))/2)-$C$7:$C$106))/2))-SUMPRODUCT($E$7:$E$106*(((((($U34-$L34)-($T$7:$T$106-$C$7:$C$106))+ABS((($U34-$L34)-($T$7:$T$106-$C$7:$C$106))))/2)+$C$7:$C$106-ABS((((($U34-$L34)-($T$7:$T$106-$C$7:$C$106))+ABS((($U34-$L34)-($T$7:$T$106-$C$7:$C$106))))/2)-$C$7:$C$106))/2)))</f>
        <v/>
      </c>
      <c r="O34" s="37" t="str">
        <f aca="false">IF($L34=0,"",N(DIARIO!$L30)-IF(DIARIO!$K30="EUR",N(DIARIO!$J30),0))</f>
        <v/>
      </c>
      <c r="P34" s="37" t="str">
        <f aca="false">IF($L34=0,"",$O34-$N34)</f>
        <v/>
      </c>
      <c r="R34" s="38" t="str">
        <f aca="false">IF(DIARIO!$C30="","",IFERROR(INDEX(PARÁMETROS!$D$5:$D$15,MATCH(DIARIO!$C30,PARÁMETROS!$A$5:$A$15,0)),""))</f>
        <v/>
      </c>
      <c r="S34" s="38" t="str">
        <f aca="false">IF(DIARIO!$C30="","",IFERROR(INDEX(PARÁMETROS!$E$5:$E$15,MATCH(DIARIO!$C30,PARÁMETROS!$A$5:$A$15,0)),""))</f>
        <v/>
      </c>
      <c r="T34" s="39" t="n">
        <f aca="false">SUM($C$7:$C34)</f>
        <v>0.55</v>
      </c>
      <c r="U34" s="39" t="n">
        <f aca="false">SUM($L$7:$L34)</f>
        <v>0</v>
      </c>
    </row>
    <row r="35" customFormat="false" ht="15" hidden="false" customHeight="false" outlineLevel="0" collapsed="false">
      <c r="A35" s="24" t="str">
        <f aca="false">IF($C35=0,"",DIARIO!$A31)</f>
        <v/>
      </c>
      <c r="B35" s="33" t="str">
        <f aca="false">IF($C35=0,"",DIARIO!$B31)</f>
        <v/>
      </c>
      <c r="C35" s="34" t="n">
        <f aca="false">IF(AND($R35="Sí",DIARIO!$H31=$B$2),N(DIARIO!$I31),0)</f>
        <v>0</v>
      </c>
      <c r="D35" s="35" t="n">
        <f aca="false">IF($C35=0,0,N(DIARIO!$L31)+IF(DIARIO!$K31="EUR",N(DIARIO!$J31),0))</f>
        <v>0</v>
      </c>
      <c r="E35" s="35" t="n">
        <f aca="false">IF($C35=0,0,$D35/$C35)</f>
        <v>0</v>
      </c>
      <c r="F35" s="36" t="str">
        <f aca="false">IF($C35=0,"",$T35)</f>
        <v/>
      </c>
      <c r="G35" s="36" t="str">
        <f aca="false">IF($C35=0,"",MAX(0,MIN($C35,$E$4-($T35-$C35))))</f>
        <v/>
      </c>
      <c r="H35" s="36" t="str">
        <f aca="false">IF($C35=0,"",$C35-$G35)</f>
        <v/>
      </c>
      <c r="J35" s="24" t="str">
        <f aca="false">IF($L35=0,"",DIARIO!$A31)</f>
        <v/>
      </c>
      <c r="K35" s="33" t="str">
        <f aca="false">IF($L35=0,"",DIARIO!$B31)</f>
        <v/>
      </c>
      <c r="L35" s="34" t="n">
        <f aca="false">IF(AND($S35="Sí",DIARIO!$F31=$B$2),N(DIARIO!$G31),0)</f>
        <v>0</v>
      </c>
      <c r="M35" s="36" t="str">
        <f aca="false">IF($L35=0,"",$U35)</f>
        <v/>
      </c>
      <c r="N35" s="37" t="str">
        <f aca="false">IF($L35=0,"",SUMPRODUCT($E$7:$E$106*((((($U35-($T$7:$T$106-$C$7:$C$106))+ABS(($U35-($T$7:$T$106-$C$7:$C$106))))/2)+$C$7:$C$106-ABS(((($U35-($T$7:$T$106-$C$7:$C$106))+ABS(($U35-($T$7:$T$106-$C$7:$C$106))))/2)-$C$7:$C$106))/2))-SUMPRODUCT($E$7:$E$106*(((((($U35-$L35)-($T$7:$T$106-$C$7:$C$106))+ABS((($U35-$L35)-($T$7:$T$106-$C$7:$C$106))))/2)+$C$7:$C$106-ABS((((($U35-$L35)-($T$7:$T$106-$C$7:$C$106))+ABS((($U35-$L35)-($T$7:$T$106-$C$7:$C$106))))/2)-$C$7:$C$106))/2)))</f>
        <v/>
      </c>
      <c r="O35" s="37" t="str">
        <f aca="false">IF($L35=0,"",N(DIARIO!$L31)-IF(DIARIO!$K31="EUR",N(DIARIO!$J31),0))</f>
        <v/>
      </c>
      <c r="P35" s="37" t="str">
        <f aca="false">IF($L35=0,"",$O35-$N35)</f>
        <v/>
      </c>
      <c r="R35" s="38" t="str">
        <f aca="false">IF(DIARIO!$C31="","",IFERROR(INDEX(PARÁMETROS!$D$5:$D$15,MATCH(DIARIO!$C31,PARÁMETROS!$A$5:$A$15,0)),""))</f>
        <v/>
      </c>
      <c r="S35" s="38" t="str">
        <f aca="false">IF(DIARIO!$C31="","",IFERROR(INDEX(PARÁMETROS!$E$5:$E$15,MATCH(DIARIO!$C31,PARÁMETROS!$A$5:$A$15,0)),""))</f>
        <v/>
      </c>
      <c r="T35" s="39" t="n">
        <f aca="false">SUM($C$7:$C35)</f>
        <v>0.55</v>
      </c>
      <c r="U35" s="39" t="n">
        <f aca="false">SUM($L$7:$L35)</f>
        <v>0</v>
      </c>
    </row>
    <row r="36" customFormat="false" ht="15" hidden="false" customHeight="false" outlineLevel="0" collapsed="false">
      <c r="A36" s="24" t="str">
        <f aca="false">IF($C36=0,"",DIARIO!$A32)</f>
        <v/>
      </c>
      <c r="B36" s="33" t="str">
        <f aca="false">IF($C36=0,"",DIARIO!$B32)</f>
        <v/>
      </c>
      <c r="C36" s="34" t="n">
        <f aca="false">IF(AND($R36="Sí",DIARIO!$H32=$B$2),N(DIARIO!$I32),0)</f>
        <v>0</v>
      </c>
      <c r="D36" s="35" t="n">
        <f aca="false">IF($C36=0,0,N(DIARIO!$L32)+IF(DIARIO!$K32="EUR",N(DIARIO!$J32),0))</f>
        <v>0</v>
      </c>
      <c r="E36" s="35" t="n">
        <f aca="false">IF($C36=0,0,$D36/$C36)</f>
        <v>0</v>
      </c>
      <c r="F36" s="36" t="str">
        <f aca="false">IF($C36=0,"",$T36)</f>
        <v/>
      </c>
      <c r="G36" s="36" t="str">
        <f aca="false">IF($C36=0,"",MAX(0,MIN($C36,$E$4-($T36-$C36))))</f>
        <v/>
      </c>
      <c r="H36" s="36" t="str">
        <f aca="false">IF($C36=0,"",$C36-$G36)</f>
        <v/>
      </c>
      <c r="J36" s="24" t="str">
        <f aca="false">IF($L36=0,"",DIARIO!$A32)</f>
        <v/>
      </c>
      <c r="K36" s="33" t="str">
        <f aca="false">IF($L36=0,"",DIARIO!$B32)</f>
        <v/>
      </c>
      <c r="L36" s="34" t="n">
        <f aca="false">IF(AND($S36="Sí",DIARIO!$F32=$B$2),N(DIARIO!$G32),0)</f>
        <v>0</v>
      </c>
      <c r="M36" s="36" t="str">
        <f aca="false">IF($L36=0,"",$U36)</f>
        <v/>
      </c>
      <c r="N36" s="37" t="str">
        <f aca="false">IF($L36=0,"",SUMPRODUCT($E$7:$E$106*((((($U36-($T$7:$T$106-$C$7:$C$106))+ABS(($U36-($T$7:$T$106-$C$7:$C$106))))/2)+$C$7:$C$106-ABS(((($U36-($T$7:$T$106-$C$7:$C$106))+ABS(($U36-($T$7:$T$106-$C$7:$C$106))))/2)-$C$7:$C$106))/2))-SUMPRODUCT($E$7:$E$106*(((((($U36-$L36)-($T$7:$T$106-$C$7:$C$106))+ABS((($U36-$L36)-($T$7:$T$106-$C$7:$C$106))))/2)+$C$7:$C$106-ABS((((($U36-$L36)-($T$7:$T$106-$C$7:$C$106))+ABS((($U36-$L36)-($T$7:$T$106-$C$7:$C$106))))/2)-$C$7:$C$106))/2)))</f>
        <v/>
      </c>
      <c r="O36" s="37" t="str">
        <f aca="false">IF($L36=0,"",N(DIARIO!$L32)-IF(DIARIO!$K32="EUR",N(DIARIO!$J32),0))</f>
        <v/>
      </c>
      <c r="P36" s="37" t="str">
        <f aca="false">IF($L36=0,"",$O36-$N36)</f>
        <v/>
      </c>
      <c r="R36" s="38" t="str">
        <f aca="false">IF(DIARIO!$C32="","",IFERROR(INDEX(PARÁMETROS!$D$5:$D$15,MATCH(DIARIO!$C32,PARÁMETROS!$A$5:$A$15,0)),""))</f>
        <v/>
      </c>
      <c r="S36" s="38" t="str">
        <f aca="false">IF(DIARIO!$C32="","",IFERROR(INDEX(PARÁMETROS!$E$5:$E$15,MATCH(DIARIO!$C32,PARÁMETROS!$A$5:$A$15,0)),""))</f>
        <v/>
      </c>
      <c r="T36" s="39" t="n">
        <f aca="false">SUM($C$7:$C36)</f>
        <v>0.55</v>
      </c>
      <c r="U36" s="39" t="n">
        <f aca="false">SUM($L$7:$L36)</f>
        <v>0</v>
      </c>
    </row>
    <row r="37" customFormat="false" ht="15" hidden="false" customHeight="false" outlineLevel="0" collapsed="false">
      <c r="A37" s="24" t="str">
        <f aca="false">IF($C37=0,"",DIARIO!$A33)</f>
        <v/>
      </c>
      <c r="B37" s="33" t="str">
        <f aca="false">IF($C37=0,"",DIARIO!$B33)</f>
        <v/>
      </c>
      <c r="C37" s="34" t="n">
        <f aca="false">IF(AND($R37="Sí",DIARIO!$H33=$B$2),N(DIARIO!$I33),0)</f>
        <v>0</v>
      </c>
      <c r="D37" s="35" t="n">
        <f aca="false">IF($C37=0,0,N(DIARIO!$L33)+IF(DIARIO!$K33="EUR",N(DIARIO!$J33),0))</f>
        <v>0</v>
      </c>
      <c r="E37" s="35" t="n">
        <f aca="false">IF($C37=0,0,$D37/$C37)</f>
        <v>0</v>
      </c>
      <c r="F37" s="36" t="str">
        <f aca="false">IF($C37=0,"",$T37)</f>
        <v/>
      </c>
      <c r="G37" s="36" t="str">
        <f aca="false">IF($C37=0,"",MAX(0,MIN($C37,$E$4-($T37-$C37))))</f>
        <v/>
      </c>
      <c r="H37" s="36" t="str">
        <f aca="false">IF($C37=0,"",$C37-$G37)</f>
        <v/>
      </c>
      <c r="J37" s="24" t="str">
        <f aca="false">IF($L37=0,"",DIARIO!$A33)</f>
        <v/>
      </c>
      <c r="K37" s="33" t="str">
        <f aca="false">IF($L37=0,"",DIARIO!$B33)</f>
        <v/>
      </c>
      <c r="L37" s="34" t="n">
        <f aca="false">IF(AND($S37="Sí",DIARIO!$F33=$B$2),N(DIARIO!$G33),0)</f>
        <v>0</v>
      </c>
      <c r="M37" s="36" t="str">
        <f aca="false">IF($L37=0,"",$U37)</f>
        <v/>
      </c>
      <c r="N37" s="37" t="str">
        <f aca="false">IF($L37=0,"",SUMPRODUCT($E$7:$E$106*((((($U37-($T$7:$T$106-$C$7:$C$106))+ABS(($U37-($T$7:$T$106-$C$7:$C$106))))/2)+$C$7:$C$106-ABS(((($U37-($T$7:$T$106-$C$7:$C$106))+ABS(($U37-($T$7:$T$106-$C$7:$C$106))))/2)-$C$7:$C$106))/2))-SUMPRODUCT($E$7:$E$106*(((((($U37-$L37)-($T$7:$T$106-$C$7:$C$106))+ABS((($U37-$L37)-($T$7:$T$106-$C$7:$C$106))))/2)+$C$7:$C$106-ABS((((($U37-$L37)-($T$7:$T$106-$C$7:$C$106))+ABS((($U37-$L37)-($T$7:$T$106-$C$7:$C$106))))/2)-$C$7:$C$106))/2)))</f>
        <v/>
      </c>
      <c r="O37" s="37" t="str">
        <f aca="false">IF($L37=0,"",N(DIARIO!$L33)-IF(DIARIO!$K33="EUR",N(DIARIO!$J33),0))</f>
        <v/>
      </c>
      <c r="P37" s="37" t="str">
        <f aca="false">IF($L37=0,"",$O37-$N37)</f>
        <v/>
      </c>
      <c r="R37" s="38" t="str">
        <f aca="false">IF(DIARIO!$C33="","",IFERROR(INDEX(PARÁMETROS!$D$5:$D$15,MATCH(DIARIO!$C33,PARÁMETROS!$A$5:$A$15,0)),""))</f>
        <v/>
      </c>
      <c r="S37" s="38" t="str">
        <f aca="false">IF(DIARIO!$C33="","",IFERROR(INDEX(PARÁMETROS!$E$5:$E$15,MATCH(DIARIO!$C33,PARÁMETROS!$A$5:$A$15,0)),""))</f>
        <v/>
      </c>
      <c r="T37" s="39" t="n">
        <f aca="false">SUM($C$7:$C37)</f>
        <v>0.55</v>
      </c>
      <c r="U37" s="39" t="n">
        <f aca="false">SUM($L$7:$L37)</f>
        <v>0</v>
      </c>
    </row>
    <row r="38" customFormat="false" ht="15" hidden="false" customHeight="false" outlineLevel="0" collapsed="false">
      <c r="A38" s="24" t="str">
        <f aca="false">IF($C38=0,"",DIARIO!$A34)</f>
        <v/>
      </c>
      <c r="B38" s="33" t="str">
        <f aca="false">IF($C38=0,"",DIARIO!$B34)</f>
        <v/>
      </c>
      <c r="C38" s="34" t="n">
        <f aca="false">IF(AND($R38="Sí",DIARIO!$H34=$B$2),N(DIARIO!$I34),0)</f>
        <v>0</v>
      </c>
      <c r="D38" s="35" t="n">
        <f aca="false">IF($C38=0,0,N(DIARIO!$L34)+IF(DIARIO!$K34="EUR",N(DIARIO!$J34),0))</f>
        <v>0</v>
      </c>
      <c r="E38" s="35" t="n">
        <f aca="false">IF($C38=0,0,$D38/$C38)</f>
        <v>0</v>
      </c>
      <c r="F38" s="36" t="str">
        <f aca="false">IF($C38=0,"",$T38)</f>
        <v/>
      </c>
      <c r="G38" s="36" t="str">
        <f aca="false">IF($C38=0,"",MAX(0,MIN($C38,$E$4-($T38-$C38))))</f>
        <v/>
      </c>
      <c r="H38" s="36" t="str">
        <f aca="false">IF($C38=0,"",$C38-$G38)</f>
        <v/>
      </c>
      <c r="J38" s="24" t="str">
        <f aca="false">IF($L38=0,"",DIARIO!$A34)</f>
        <v/>
      </c>
      <c r="K38" s="33" t="str">
        <f aca="false">IF($L38=0,"",DIARIO!$B34)</f>
        <v/>
      </c>
      <c r="L38" s="34" t="n">
        <f aca="false">IF(AND($S38="Sí",DIARIO!$F34=$B$2),N(DIARIO!$G34),0)</f>
        <v>0</v>
      </c>
      <c r="M38" s="36" t="str">
        <f aca="false">IF($L38=0,"",$U38)</f>
        <v/>
      </c>
      <c r="N38" s="37" t="str">
        <f aca="false">IF($L38=0,"",SUMPRODUCT($E$7:$E$106*((((($U38-($T$7:$T$106-$C$7:$C$106))+ABS(($U38-($T$7:$T$106-$C$7:$C$106))))/2)+$C$7:$C$106-ABS(((($U38-($T$7:$T$106-$C$7:$C$106))+ABS(($U38-($T$7:$T$106-$C$7:$C$106))))/2)-$C$7:$C$106))/2))-SUMPRODUCT($E$7:$E$106*(((((($U38-$L38)-($T$7:$T$106-$C$7:$C$106))+ABS((($U38-$L38)-($T$7:$T$106-$C$7:$C$106))))/2)+$C$7:$C$106-ABS((((($U38-$L38)-($T$7:$T$106-$C$7:$C$106))+ABS((($U38-$L38)-($T$7:$T$106-$C$7:$C$106))))/2)-$C$7:$C$106))/2)))</f>
        <v/>
      </c>
      <c r="O38" s="37" t="str">
        <f aca="false">IF($L38=0,"",N(DIARIO!$L34)-IF(DIARIO!$K34="EUR",N(DIARIO!$J34),0))</f>
        <v/>
      </c>
      <c r="P38" s="37" t="str">
        <f aca="false">IF($L38=0,"",$O38-$N38)</f>
        <v/>
      </c>
      <c r="R38" s="38" t="str">
        <f aca="false">IF(DIARIO!$C34="","",IFERROR(INDEX(PARÁMETROS!$D$5:$D$15,MATCH(DIARIO!$C34,PARÁMETROS!$A$5:$A$15,0)),""))</f>
        <v/>
      </c>
      <c r="S38" s="38" t="str">
        <f aca="false">IF(DIARIO!$C34="","",IFERROR(INDEX(PARÁMETROS!$E$5:$E$15,MATCH(DIARIO!$C34,PARÁMETROS!$A$5:$A$15,0)),""))</f>
        <v/>
      </c>
      <c r="T38" s="39" t="n">
        <f aca="false">SUM($C$7:$C38)</f>
        <v>0.55</v>
      </c>
      <c r="U38" s="39" t="n">
        <f aca="false">SUM($L$7:$L38)</f>
        <v>0</v>
      </c>
    </row>
    <row r="39" customFormat="false" ht="15" hidden="false" customHeight="false" outlineLevel="0" collapsed="false">
      <c r="A39" s="24" t="str">
        <f aca="false">IF($C39=0,"",DIARIO!$A35)</f>
        <v/>
      </c>
      <c r="B39" s="33" t="str">
        <f aca="false">IF($C39=0,"",DIARIO!$B35)</f>
        <v/>
      </c>
      <c r="C39" s="34" t="n">
        <f aca="false">IF(AND($R39="Sí",DIARIO!$H35=$B$2),N(DIARIO!$I35),0)</f>
        <v>0</v>
      </c>
      <c r="D39" s="35" t="n">
        <f aca="false">IF($C39=0,0,N(DIARIO!$L35)+IF(DIARIO!$K35="EUR",N(DIARIO!$J35),0))</f>
        <v>0</v>
      </c>
      <c r="E39" s="35" t="n">
        <f aca="false">IF($C39=0,0,$D39/$C39)</f>
        <v>0</v>
      </c>
      <c r="F39" s="36" t="str">
        <f aca="false">IF($C39=0,"",$T39)</f>
        <v/>
      </c>
      <c r="G39" s="36" t="str">
        <f aca="false">IF($C39=0,"",MAX(0,MIN($C39,$E$4-($T39-$C39))))</f>
        <v/>
      </c>
      <c r="H39" s="36" t="str">
        <f aca="false">IF($C39=0,"",$C39-$G39)</f>
        <v/>
      </c>
      <c r="J39" s="24" t="str">
        <f aca="false">IF($L39=0,"",DIARIO!$A35)</f>
        <v/>
      </c>
      <c r="K39" s="33" t="str">
        <f aca="false">IF($L39=0,"",DIARIO!$B35)</f>
        <v/>
      </c>
      <c r="L39" s="34" t="n">
        <f aca="false">IF(AND($S39="Sí",DIARIO!$F35=$B$2),N(DIARIO!$G35),0)</f>
        <v>0</v>
      </c>
      <c r="M39" s="36" t="str">
        <f aca="false">IF($L39=0,"",$U39)</f>
        <v/>
      </c>
      <c r="N39" s="37" t="str">
        <f aca="false">IF($L39=0,"",SUMPRODUCT($E$7:$E$106*((((($U39-($T$7:$T$106-$C$7:$C$106))+ABS(($U39-($T$7:$T$106-$C$7:$C$106))))/2)+$C$7:$C$106-ABS(((($U39-($T$7:$T$106-$C$7:$C$106))+ABS(($U39-($T$7:$T$106-$C$7:$C$106))))/2)-$C$7:$C$106))/2))-SUMPRODUCT($E$7:$E$106*(((((($U39-$L39)-($T$7:$T$106-$C$7:$C$106))+ABS((($U39-$L39)-($T$7:$T$106-$C$7:$C$106))))/2)+$C$7:$C$106-ABS((((($U39-$L39)-($T$7:$T$106-$C$7:$C$106))+ABS((($U39-$L39)-($T$7:$T$106-$C$7:$C$106))))/2)-$C$7:$C$106))/2)))</f>
        <v/>
      </c>
      <c r="O39" s="37" t="str">
        <f aca="false">IF($L39=0,"",N(DIARIO!$L35)-IF(DIARIO!$K35="EUR",N(DIARIO!$J35),0))</f>
        <v/>
      </c>
      <c r="P39" s="37" t="str">
        <f aca="false">IF($L39=0,"",$O39-$N39)</f>
        <v/>
      </c>
      <c r="R39" s="38" t="str">
        <f aca="false">IF(DIARIO!$C35="","",IFERROR(INDEX(PARÁMETROS!$D$5:$D$15,MATCH(DIARIO!$C35,PARÁMETROS!$A$5:$A$15,0)),""))</f>
        <v/>
      </c>
      <c r="S39" s="38" t="str">
        <f aca="false">IF(DIARIO!$C35="","",IFERROR(INDEX(PARÁMETROS!$E$5:$E$15,MATCH(DIARIO!$C35,PARÁMETROS!$A$5:$A$15,0)),""))</f>
        <v/>
      </c>
      <c r="T39" s="39" t="n">
        <f aca="false">SUM($C$7:$C39)</f>
        <v>0.55</v>
      </c>
      <c r="U39" s="39" t="n">
        <f aca="false">SUM($L$7:$L39)</f>
        <v>0</v>
      </c>
    </row>
    <row r="40" customFormat="false" ht="15" hidden="false" customHeight="false" outlineLevel="0" collapsed="false">
      <c r="A40" s="24" t="str">
        <f aca="false">IF($C40=0,"",DIARIO!$A36)</f>
        <v/>
      </c>
      <c r="B40" s="33" t="str">
        <f aca="false">IF($C40=0,"",DIARIO!$B36)</f>
        <v/>
      </c>
      <c r="C40" s="34" t="n">
        <f aca="false">IF(AND($R40="Sí",DIARIO!$H36=$B$2),N(DIARIO!$I36),0)</f>
        <v>0</v>
      </c>
      <c r="D40" s="35" t="n">
        <f aca="false">IF($C40=0,0,N(DIARIO!$L36)+IF(DIARIO!$K36="EUR",N(DIARIO!$J36),0))</f>
        <v>0</v>
      </c>
      <c r="E40" s="35" t="n">
        <f aca="false">IF($C40=0,0,$D40/$C40)</f>
        <v>0</v>
      </c>
      <c r="F40" s="36" t="str">
        <f aca="false">IF($C40=0,"",$T40)</f>
        <v/>
      </c>
      <c r="G40" s="36" t="str">
        <f aca="false">IF($C40=0,"",MAX(0,MIN($C40,$E$4-($T40-$C40))))</f>
        <v/>
      </c>
      <c r="H40" s="36" t="str">
        <f aca="false">IF($C40=0,"",$C40-$G40)</f>
        <v/>
      </c>
      <c r="J40" s="24" t="str">
        <f aca="false">IF($L40=0,"",DIARIO!$A36)</f>
        <v/>
      </c>
      <c r="K40" s="33" t="str">
        <f aca="false">IF($L40=0,"",DIARIO!$B36)</f>
        <v/>
      </c>
      <c r="L40" s="34" t="n">
        <f aca="false">IF(AND($S40="Sí",DIARIO!$F36=$B$2),N(DIARIO!$G36),0)</f>
        <v>0</v>
      </c>
      <c r="M40" s="36" t="str">
        <f aca="false">IF($L40=0,"",$U40)</f>
        <v/>
      </c>
      <c r="N40" s="37" t="str">
        <f aca="false">IF($L40=0,"",SUMPRODUCT($E$7:$E$106*((((($U40-($T$7:$T$106-$C$7:$C$106))+ABS(($U40-($T$7:$T$106-$C$7:$C$106))))/2)+$C$7:$C$106-ABS(((($U40-($T$7:$T$106-$C$7:$C$106))+ABS(($U40-($T$7:$T$106-$C$7:$C$106))))/2)-$C$7:$C$106))/2))-SUMPRODUCT($E$7:$E$106*(((((($U40-$L40)-($T$7:$T$106-$C$7:$C$106))+ABS((($U40-$L40)-($T$7:$T$106-$C$7:$C$106))))/2)+$C$7:$C$106-ABS((((($U40-$L40)-($T$7:$T$106-$C$7:$C$106))+ABS((($U40-$L40)-($T$7:$T$106-$C$7:$C$106))))/2)-$C$7:$C$106))/2)))</f>
        <v/>
      </c>
      <c r="O40" s="37" t="str">
        <f aca="false">IF($L40=0,"",N(DIARIO!$L36)-IF(DIARIO!$K36="EUR",N(DIARIO!$J36),0))</f>
        <v/>
      </c>
      <c r="P40" s="37" t="str">
        <f aca="false">IF($L40=0,"",$O40-$N40)</f>
        <v/>
      </c>
      <c r="R40" s="38" t="str">
        <f aca="false">IF(DIARIO!$C36="","",IFERROR(INDEX(PARÁMETROS!$D$5:$D$15,MATCH(DIARIO!$C36,PARÁMETROS!$A$5:$A$15,0)),""))</f>
        <v/>
      </c>
      <c r="S40" s="38" t="str">
        <f aca="false">IF(DIARIO!$C36="","",IFERROR(INDEX(PARÁMETROS!$E$5:$E$15,MATCH(DIARIO!$C36,PARÁMETROS!$A$5:$A$15,0)),""))</f>
        <v/>
      </c>
      <c r="T40" s="39" t="n">
        <f aca="false">SUM($C$7:$C40)</f>
        <v>0.55</v>
      </c>
      <c r="U40" s="39" t="n">
        <f aca="false">SUM($L$7:$L40)</f>
        <v>0</v>
      </c>
    </row>
    <row r="41" customFormat="false" ht="15" hidden="false" customHeight="false" outlineLevel="0" collapsed="false">
      <c r="A41" s="24" t="str">
        <f aca="false">IF($C41=0,"",DIARIO!$A37)</f>
        <v/>
      </c>
      <c r="B41" s="33" t="str">
        <f aca="false">IF($C41=0,"",DIARIO!$B37)</f>
        <v/>
      </c>
      <c r="C41" s="34" t="n">
        <f aca="false">IF(AND($R41="Sí",DIARIO!$H37=$B$2),N(DIARIO!$I37),0)</f>
        <v>0</v>
      </c>
      <c r="D41" s="35" t="n">
        <f aca="false">IF($C41=0,0,N(DIARIO!$L37)+IF(DIARIO!$K37="EUR",N(DIARIO!$J37),0))</f>
        <v>0</v>
      </c>
      <c r="E41" s="35" t="n">
        <f aca="false">IF($C41=0,0,$D41/$C41)</f>
        <v>0</v>
      </c>
      <c r="F41" s="36" t="str">
        <f aca="false">IF($C41=0,"",$T41)</f>
        <v/>
      </c>
      <c r="G41" s="36" t="str">
        <f aca="false">IF($C41=0,"",MAX(0,MIN($C41,$E$4-($T41-$C41))))</f>
        <v/>
      </c>
      <c r="H41" s="36" t="str">
        <f aca="false">IF($C41=0,"",$C41-$G41)</f>
        <v/>
      </c>
      <c r="J41" s="24" t="str">
        <f aca="false">IF($L41=0,"",DIARIO!$A37)</f>
        <v/>
      </c>
      <c r="K41" s="33" t="str">
        <f aca="false">IF($L41=0,"",DIARIO!$B37)</f>
        <v/>
      </c>
      <c r="L41" s="34" t="n">
        <f aca="false">IF(AND($S41="Sí",DIARIO!$F37=$B$2),N(DIARIO!$G37),0)</f>
        <v>0</v>
      </c>
      <c r="M41" s="36" t="str">
        <f aca="false">IF($L41=0,"",$U41)</f>
        <v/>
      </c>
      <c r="N41" s="37" t="str">
        <f aca="false">IF($L41=0,"",SUMPRODUCT($E$7:$E$106*((((($U41-($T$7:$T$106-$C$7:$C$106))+ABS(($U41-($T$7:$T$106-$C$7:$C$106))))/2)+$C$7:$C$106-ABS(((($U41-($T$7:$T$106-$C$7:$C$106))+ABS(($U41-($T$7:$T$106-$C$7:$C$106))))/2)-$C$7:$C$106))/2))-SUMPRODUCT($E$7:$E$106*(((((($U41-$L41)-($T$7:$T$106-$C$7:$C$106))+ABS((($U41-$L41)-($T$7:$T$106-$C$7:$C$106))))/2)+$C$7:$C$106-ABS((((($U41-$L41)-($T$7:$T$106-$C$7:$C$106))+ABS((($U41-$L41)-($T$7:$T$106-$C$7:$C$106))))/2)-$C$7:$C$106))/2)))</f>
        <v/>
      </c>
      <c r="O41" s="37" t="str">
        <f aca="false">IF($L41=0,"",N(DIARIO!$L37)-IF(DIARIO!$K37="EUR",N(DIARIO!$J37),0))</f>
        <v/>
      </c>
      <c r="P41" s="37" t="str">
        <f aca="false">IF($L41=0,"",$O41-$N41)</f>
        <v/>
      </c>
      <c r="R41" s="38" t="str">
        <f aca="false">IF(DIARIO!$C37="","",IFERROR(INDEX(PARÁMETROS!$D$5:$D$15,MATCH(DIARIO!$C37,PARÁMETROS!$A$5:$A$15,0)),""))</f>
        <v/>
      </c>
      <c r="S41" s="38" t="str">
        <f aca="false">IF(DIARIO!$C37="","",IFERROR(INDEX(PARÁMETROS!$E$5:$E$15,MATCH(DIARIO!$C37,PARÁMETROS!$A$5:$A$15,0)),""))</f>
        <v/>
      </c>
      <c r="T41" s="39" t="n">
        <f aca="false">SUM($C$7:$C41)</f>
        <v>0.55</v>
      </c>
      <c r="U41" s="39" t="n">
        <f aca="false">SUM($L$7:$L41)</f>
        <v>0</v>
      </c>
    </row>
    <row r="42" customFormat="false" ht="15" hidden="false" customHeight="false" outlineLevel="0" collapsed="false">
      <c r="A42" s="24" t="str">
        <f aca="false">IF($C42=0,"",DIARIO!$A38)</f>
        <v/>
      </c>
      <c r="B42" s="33" t="str">
        <f aca="false">IF($C42=0,"",DIARIO!$B38)</f>
        <v/>
      </c>
      <c r="C42" s="34" t="n">
        <f aca="false">IF(AND($R42="Sí",DIARIO!$H38=$B$2),N(DIARIO!$I38),0)</f>
        <v>0</v>
      </c>
      <c r="D42" s="35" t="n">
        <f aca="false">IF($C42=0,0,N(DIARIO!$L38)+IF(DIARIO!$K38="EUR",N(DIARIO!$J38),0))</f>
        <v>0</v>
      </c>
      <c r="E42" s="35" t="n">
        <f aca="false">IF($C42=0,0,$D42/$C42)</f>
        <v>0</v>
      </c>
      <c r="F42" s="36" t="str">
        <f aca="false">IF($C42=0,"",$T42)</f>
        <v/>
      </c>
      <c r="G42" s="36" t="str">
        <f aca="false">IF($C42=0,"",MAX(0,MIN($C42,$E$4-($T42-$C42))))</f>
        <v/>
      </c>
      <c r="H42" s="36" t="str">
        <f aca="false">IF($C42=0,"",$C42-$G42)</f>
        <v/>
      </c>
      <c r="J42" s="24" t="str">
        <f aca="false">IF($L42=0,"",DIARIO!$A38)</f>
        <v/>
      </c>
      <c r="K42" s="33" t="str">
        <f aca="false">IF($L42=0,"",DIARIO!$B38)</f>
        <v/>
      </c>
      <c r="L42" s="34" t="n">
        <f aca="false">IF(AND($S42="Sí",DIARIO!$F38=$B$2),N(DIARIO!$G38),0)</f>
        <v>0</v>
      </c>
      <c r="M42" s="36" t="str">
        <f aca="false">IF($L42=0,"",$U42)</f>
        <v/>
      </c>
      <c r="N42" s="37" t="str">
        <f aca="false">IF($L42=0,"",SUMPRODUCT($E$7:$E$106*((((($U42-($T$7:$T$106-$C$7:$C$106))+ABS(($U42-($T$7:$T$106-$C$7:$C$106))))/2)+$C$7:$C$106-ABS(((($U42-($T$7:$T$106-$C$7:$C$106))+ABS(($U42-($T$7:$T$106-$C$7:$C$106))))/2)-$C$7:$C$106))/2))-SUMPRODUCT($E$7:$E$106*(((((($U42-$L42)-($T$7:$T$106-$C$7:$C$106))+ABS((($U42-$L42)-($T$7:$T$106-$C$7:$C$106))))/2)+$C$7:$C$106-ABS((((($U42-$L42)-($T$7:$T$106-$C$7:$C$106))+ABS((($U42-$L42)-($T$7:$T$106-$C$7:$C$106))))/2)-$C$7:$C$106))/2)))</f>
        <v/>
      </c>
      <c r="O42" s="37" t="str">
        <f aca="false">IF($L42=0,"",N(DIARIO!$L38)-IF(DIARIO!$K38="EUR",N(DIARIO!$J38),0))</f>
        <v/>
      </c>
      <c r="P42" s="37" t="str">
        <f aca="false">IF($L42=0,"",$O42-$N42)</f>
        <v/>
      </c>
      <c r="R42" s="38" t="str">
        <f aca="false">IF(DIARIO!$C38="","",IFERROR(INDEX(PARÁMETROS!$D$5:$D$15,MATCH(DIARIO!$C38,PARÁMETROS!$A$5:$A$15,0)),""))</f>
        <v/>
      </c>
      <c r="S42" s="38" t="str">
        <f aca="false">IF(DIARIO!$C38="","",IFERROR(INDEX(PARÁMETROS!$E$5:$E$15,MATCH(DIARIO!$C38,PARÁMETROS!$A$5:$A$15,0)),""))</f>
        <v/>
      </c>
      <c r="T42" s="39" t="n">
        <f aca="false">SUM($C$7:$C42)</f>
        <v>0.55</v>
      </c>
      <c r="U42" s="39" t="n">
        <f aca="false">SUM($L$7:$L42)</f>
        <v>0</v>
      </c>
    </row>
    <row r="43" customFormat="false" ht="15" hidden="false" customHeight="false" outlineLevel="0" collapsed="false">
      <c r="A43" s="24" t="str">
        <f aca="false">IF($C43=0,"",DIARIO!$A39)</f>
        <v/>
      </c>
      <c r="B43" s="33" t="str">
        <f aca="false">IF($C43=0,"",DIARIO!$B39)</f>
        <v/>
      </c>
      <c r="C43" s="34" t="n">
        <f aca="false">IF(AND($R43="Sí",DIARIO!$H39=$B$2),N(DIARIO!$I39),0)</f>
        <v>0</v>
      </c>
      <c r="D43" s="35" t="n">
        <f aca="false">IF($C43=0,0,N(DIARIO!$L39)+IF(DIARIO!$K39="EUR",N(DIARIO!$J39),0))</f>
        <v>0</v>
      </c>
      <c r="E43" s="35" t="n">
        <f aca="false">IF($C43=0,0,$D43/$C43)</f>
        <v>0</v>
      </c>
      <c r="F43" s="36" t="str">
        <f aca="false">IF($C43=0,"",$T43)</f>
        <v/>
      </c>
      <c r="G43" s="36" t="str">
        <f aca="false">IF($C43=0,"",MAX(0,MIN($C43,$E$4-($T43-$C43))))</f>
        <v/>
      </c>
      <c r="H43" s="36" t="str">
        <f aca="false">IF($C43=0,"",$C43-$G43)</f>
        <v/>
      </c>
      <c r="J43" s="24" t="str">
        <f aca="false">IF($L43=0,"",DIARIO!$A39)</f>
        <v/>
      </c>
      <c r="K43" s="33" t="str">
        <f aca="false">IF($L43=0,"",DIARIO!$B39)</f>
        <v/>
      </c>
      <c r="L43" s="34" t="n">
        <f aca="false">IF(AND($S43="Sí",DIARIO!$F39=$B$2),N(DIARIO!$G39),0)</f>
        <v>0</v>
      </c>
      <c r="M43" s="36" t="str">
        <f aca="false">IF($L43=0,"",$U43)</f>
        <v/>
      </c>
      <c r="N43" s="37" t="str">
        <f aca="false">IF($L43=0,"",SUMPRODUCT($E$7:$E$106*((((($U43-($T$7:$T$106-$C$7:$C$106))+ABS(($U43-($T$7:$T$106-$C$7:$C$106))))/2)+$C$7:$C$106-ABS(((($U43-($T$7:$T$106-$C$7:$C$106))+ABS(($U43-($T$7:$T$106-$C$7:$C$106))))/2)-$C$7:$C$106))/2))-SUMPRODUCT($E$7:$E$106*(((((($U43-$L43)-($T$7:$T$106-$C$7:$C$106))+ABS((($U43-$L43)-($T$7:$T$106-$C$7:$C$106))))/2)+$C$7:$C$106-ABS((((($U43-$L43)-($T$7:$T$106-$C$7:$C$106))+ABS((($U43-$L43)-($T$7:$T$106-$C$7:$C$106))))/2)-$C$7:$C$106))/2)))</f>
        <v/>
      </c>
      <c r="O43" s="37" t="str">
        <f aca="false">IF($L43=0,"",N(DIARIO!$L39)-IF(DIARIO!$K39="EUR",N(DIARIO!$J39),0))</f>
        <v/>
      </c>
      <c r="P43" s="37" t="str">
        <f aca="false">IF($L43=0,"",$O43-$N43)</f>
        <v/>
      </c>
      <c r="R43" s="38" t="str">
        <f aca="false">IF(DIARIO!$C39="","",IFERROR(INDEX(PARÁMETROS!$D$5:$D$15,MATCH(DIARIO!$C39,PARÁMETROS!$A$5:$A$15,0)),""))</f>
        <v/>
      </c>
      <c r="S43" s="38" t="str">
        <f aca="false">IF(DIARIO!$C39="","",IFERROR(INDEX(PARÁMETROS!$E$5:$E$15,MATCH(DIARIO!$C39,PARÁMETROS!$A$5:$A$15,0)),""))</f>
        <v/>
      </c>
      <c r="T43" s="39" t="n">
        <f aca="false">SUM($C$7:$C43)</f>
        <v>0.55</v>
      </c>
      <c r="U43" s="39" t="n">
        <f aca="false">SUM($L$7:$L43)</f>
        <v>0</v>
      </c>
    </row>
    <row r="44" customFormat="false" ht="15" hidden="false" customHeight="false" outlineLevel="0" collapsed="false">
      <c r="A44" s="24" t="str">
        <f aca="false">IF($C44=0,"",DIARIO!$A40)</f>
        <v/>
      </c>
      <c r="B44" s="33" t="str">
        <f aca="false">IF($C44=0,"",DIARIO!$B40)</f>
        <v/>
      </c>
      <c r="C44" s="34" t="n">
        <f aca="false">IF(AND($R44="Sí",DIARIO!$H40=$B$2),N(DIARIO!$I40),0)</f>
        <v>0</v>
      </c>
      <c r="D44" s="35" t="n">
        <f aca="false">IF($C44=0,0,N(DIARIO!$L40)+IF(DIARIO!$K40="EUR",N(DIARIO!$J40),0))</f>
        <v>0</v>
      </c>
      <c r="E44" s="35" t="n">
        <f aca="false">IF($C44=0,0,$D44/$C44)</f>
        <v>0</v>
      </c>
      <c r="F44" s="36" t="str">
        <f aca="false">IF($C44=0,"",$T44)</f>
        <v/>
      </c>
      <c r="G44" s="36" t="str">
        <f aca="false">IF($C44=0,"",MAX(0,MIN($C44,$E$4-($T44-$C44))))</f>
        <v/>
      </c>
      <c r="H44" s="36" t="str">
        <f aca="false">IF($C44=0,"",$C44-$G44)</f>
        <v/>
      </c>
      <c r="J44" s="24" t="str">
        <f aca="false">IF($L44=0,"",DIARIO!$A40)</f>
        <v/>
      </c>
      <c r="K44" s="33" t="str">
        <f aca="false">IF($L44=0,"",DIARIO!$B40)</f>
        <v/>
      </c>
      <c r="L44" s="34" t="n">
        <f aca="false">IF(AND($S44="Sí",DIARIO!$F40=$B$2),N(DIARIO!$G40),0)</f>
        <v>0</v>
      </c>
      <c r="M44" s="36" t="str">
        <f aca="false">IF($L44=0,"",$U44)</f>
        <v/>
      </c>
      <c r="N44" s="37" t="str">
        <f aca="false">IF($L44=0,"",SUMPRODUCT($E$7:$E$106*((((($U44-($T$7:$T$106-$C$7:$C$106))+ABS(($U44-($T$7:$T$106-$C$7:$C$106))))/2)+$C$7:$C$106-ABS(((($U44-($T$7:$T$106-$C$7:$C$106))+ABS(($U44-($T$7:$T$106-$C$7:$C$106))))/2)-$C$7:$C$106))/2))-SUMPRODUCT($E$7:$E$106*(((((($U44-$L44)-($T$7:$T$106-$C$7:$C$106))+ABS((($U44-$L44)-($T$7:$T$106-$C$7:$C$106))))/2)+$C$7:$C$106-ABS((((($U44-$L44)-($T$7:$T$106-$C$7:$C$106))+ABS((($U44-$L44)-($T$7:$T$106-$C$7:$C$106))))/2)-$C$7:$C$106))/2)))</f>
        <v/>
      </c>
      <c r="O44" s="37" t="str">
        <f aca="false">IF($L44=0,"",N(DIARIO!$L40)-IF(DIARIO!$K40="EUR",N(DIARIO!$J40),0))</f>
        <v/>
      </c>
      <c r="P44" s="37" t="str">
        <f aca="false">IF($L44=0,"",$O44-$N44)</f>
        <v/>
      </c>
      <c r="R44" s="38" t="str">
        <f aca="false">IF(DIARIO!$C40="","",IFERROR(INDEX(PARÁMETROS!$D$5:$D$15,MATCH(DIARIO!$C40,PARÁMETROS!$A$5:$A$15,0)),""))</f>
        <v/>
      </c>
      <c r="S44" s="38" t="str">
        <f aca="false">IF(DIARIO!$C40="","",IFERROR(INDEX(PARÁMETROS!$E$5:$E$15,MATCH(DIARIO!$C40,PARÁMETROS!$A$5:$A$15,0)),""))</f>
        <v/>
      </c>
      <c r="T44" s="39" t="n">
        <f aca="false">SUM($C$7:$C44)</f>
        <v>0.55</v>
      </c>
      <c r="U44" s="39" t="n">
        <f aca="false">SUM($L$7:$L44)</f>
        <v>0</v>
      </c>
    </row>
    <row r="45" customFormat="false" ht="15" hidden="false" customHeight="false" outlineLevel="0" collapsed="false">
      <c r="A45" s="24" t="str">
        <f aca="false">IF($C45=0,"",DIARIO!$A41)</f>
        <v/>
      </c>
      <c r="B45" s="33" t="str">
        <f aca="false">IF($C45=0,"",DIARIO!$B41)</f>
        <v/>
      </c>
      <c r="C45" s="34" t="n">
        <f aca="false">IF(AND($R45="Sí",DIARIO!$H41=$B$2),N(DIARIO!$I41),0)</f>
        <v>0</v>
      </c>
      <c r="D45" s="35" t="n">
        <f aca="false">IF($C45=0,0,N(DIARIO!$L41)+IF(DIARIO!$K41="EUR",N(DIARIO!$J41),0))</f>
        <v>0</v>
      </c>
      <c r="E45" s="35" t="n">
        <f aca="false">IF($C45=0,0,$D45/$C45)</f>
        <v>0</v>
      </c>
      <c r="F45" s="36" t="str">
        <f aca="false">IF($C45=0,"",$T45)</f>
        <v/>
      </c>
      <c r="G45" s="36" t="str">
        <f aca="false">IF($C45=0,"",MAX(0,MIN($C45,$E$4-($T45-$C45))))</f>
        <v/>
      </c>
      <c r="H45" s="36" t="str">
        <f aca="false">IF($C45=0,"",$C45-$G45)</f>
        <v/>
      </c>
      <c r="J45" s="24" t="str">
        <f aca="false">IF($L45=0,"",DIARIO!$A41)</f>
        <v/>
      </c>
      <c r="K45" s="33" t="str">
        <f aca="false">IF($L45=0,"",DIARIO!$B41)</f>
        <v/>
      </c>
      <c r="L45" s="34" t="n">
        <f aca="false">IF(AND($S45="Sí",DIARIO!$F41=$B$2),N(DIARIO!$G41),0)</f>
        <v>0</v>
      </c>
      <c r="M45" s="36" t="str">
        <f aca="false">IF($L45=0,"",$U45)</f>
        <v/>
      </c>
      <c r="N45" s="37" t="str">
        <f aca="false">IF($L45=0,"",SUMPRODUCT($E$7:$E$106*((((($U45-($T$7:$T$106-$C$7:$C$106))+ABS(($U45-($T$7:$T$106-$C$7:$C$106))))/2)+$C$7:$C$106-ABS(((($U45-($T$7:$T$106-$C$7:$C$106))+ABS(($U45-($T$7:$T$106-$C$7:$C$106))))/2)-$C$7:$C$106))/2))-SUMPRODUCT($E$7:$E$106*(((((($U45-$L45)-($T$7:$T$106-$C$7:$C$106))+ABS((($U45-$L45)-($T$7:$T$106-$C$7:$C$106))))/2)+$C$7:$C$106-ABS((((($U45-$L45)-($T$7:$T$106-$C$7:$C$106))+ABS((($U45-$L45)-($T$7:$T$106-$C$7:$C$106))))/2)-$C$7:$C$106))/2)))</f>
        <v/>
      </c>
      <c r="O45" s="37" t="str">
        <f aca="false">IF($L45=0,"",N(DIARIO!$L41)-IF(DIARIO!$K41="EUR",N(DIARIO!$J41),0))</f>
        <v/>
      </c>
      <c r="P45" s="37" t="str">
        <f aca="false">IF($L45=0,"",$O45-$N45)</f>
        <v/>
      </c>
      <c r="R45" s="38" t="str">
        <f aca="false">IF(DIARIO!$C41="","",IFERROR(INDEX(PARÁMETROS!$D$5:$D$15,MATCH(DIARIO!$C41,PARÁMETROS!$A$5:$A$15,0)),""))</f>
        <v/>
      </c>
      <c r="S45" s="38" t="str">
        <f aca="false">IF(DIARIO!$C41="","",IFERROR(INDEX(PARÁMETROS!$E$5:$E$15,MATCH(DIARIO!$C41,PARÁMETROS!$A$5:$A$15,0)),""))</f>
        <v/>
      </c>
      <c r="T45" s="39" t="n">
        <f aca="false">SUM($C$7:$C45)</f>
        <v>0.55</v>
      </c>
      <c r="U45" s="39" t="n">
        <f aca="false">SUM($L$7:$L45)</f>
        <v>0</v>
      </c>
    </row>
    <row r="46" customFormat="false" ht="15" hidden="false" customHeight="false" outlineLevel="0" collapsed="false">
      <c r="A46" s="24" t="str">
        <f aca="false">IF($C46=0,"",DIARIO!$A42)</f>
        <v/>
      </c>
      <c r="B46" s="33" t="str">
        <f aca="false">IF($C46=0,"",DIARIO!$B42)</f>
        <v/>
      </c>
      <c r="C46" s="34" t="n">
        <f aca="false">IF(AND($R46="Sí",DIARIO!$H42=$B$2),N(DIARIO!$I42),0)</f>
        <v>0</v>
      </c>
      <c r="D46" s="35" t="n">
        <f aca="false">IF($C46=0,0,N(DIARIO!$L42)+IF(DIARIO!$K42="EUR",N(DIARIO!$J42),0))</f>
        <v>0</v>
      </c>
      <c r="E46" s="35" t="n">
        <f aca="false">IF($C46=0,0,$D46/$C46)</f>
        <v>0</v>
      </c>
      <c r="F46" s="36" t="str">
        <f aca="false">IF($C46=0,"",$T46)</f>
        <v/>
      </c>
      <c r="G46" s="36" t="str">
        <f aca="false">IF($C46=0,"",MAX(0,MIN($C46,$E$4-($T46-$C46))))</f>
        <v/>
      </c>
      <c r="H46" s="36" t="str">
        <f aca="false">IF($C46=0,"",$C46-$G46)</f>
        <v/>
      </c>
      <c r="J46" s="24" t="str">
        <f aca="false">IF($L46=0,"",DIARIO!$A42)</f>
        <v/>
      </c>
      <c r="K46" s="33" t="str">
        <f aca="false">IF($L46=0,"",DIARIO!$B42)</f>
        <v/>
      </c>
      <c r="L46" s="34" t="n">
        <f aca="false">IF(AND($S46="Sí",DIARIO!$F42=$B$2),N(DIARIO!$G42),0)</f>
        <v>0</v>
      </c>
      <c r="M46" s="36" t="str">
        <f aca="false">IF($L46=0,"",$U46)</f>
        <v/>
      </c>
      <c r="N46" s="37" t="str">
        <f aca="false">IF($L46=0,"",SUMPRODUCT($E$7:$E$106*((((($U46-($T$7:$T$106-$C$7:$C$106))+ABS(($U46-($T$7:$T$106-$C$7:$C$106))))/2)+$C$7:$C$106-ABS(((($U46-($T$7:$T$106-$C$7:$C$106))+ABS(($U46-($T$7:$T$106-$C$7:$C$106))))/2)-$C$7:$C$106))/2))-SUMPRODUCT($E$7:$E$106*(((((($U46-$L46)-($T$7:$T$106-$C$7:$C$106))+ABS((($U46-$L46)-($T$7:$T$106-$C$7:$C$106))))/2)+$C$7:$C$106-ABS((((($U46-$L46)-($T$7:$T$106-$C$7:$C$106))+ABS((($U46-$L46)-($T$7:$T$106-$C$7:$C$106))))/2)-$C$7:$C$106))/2)))</f>
        <v/>
      </c>
      <c r="O46" s="37" t="str">
        <f aca="false">IF($L46=0,"",N(DIARIO!$L42)-IF(DIARIO!$K42="EUR",N(DIARIO!$J42),0))</f>
        <v/>
      </c>
      <c r="P46" s="37" t="str">
        <f aca="false">IF($L46=0,"",$O46-$N46)</f>
        <v/>
      </c>
      <c r="R46" s="38" t="str">
        <f aca="false">IF(DIARIO!$C42="","",IFERROR(INDEX(PARÁMETROS!$D$5:$D$15,MATCH(DIARIO!$C42,PARÁMETROS!$A$5:$A$15,0)),""))</f>
        <v/>
      </c>
      <c r="S46" s="38" t="str">
        <f aca="false">IF(DIARIO!$C42="","",IFERROR(INDEX(PARÁMETROS!$E$5:$E$15,MATCH(DIARIO!$C42,PARÁMETROS!$A$5:$A$15,0)),""))</f>
        <v/>
      </c>
      <c r="T46" s="39" t="n">
        <f aca="false">SUM($C$7:$C46)</f>
        <v>0.55</v>
      </c>
      <c r="U46" s="39" t="n">
        <f aca="false">SUM($L$7:$L46)</f>
        <v>0</v>
      </c>
    </row>
    <row r="47" customFormat="false" ht="15" hidden="false" customHeight="false" outlineLevel="0" collapsed="false">
      <c r="A47" s="24" t="str">
        <f aca="false">IF($C47=0,"",DIARIO!$A43)</f>
        <v/>
      </c>
      <c r="B47" s="33" t="str">
        <f aca="false">IF($C47=0,"",DIARIO!$B43)</f>
        <v/>
      </c>
      <c r="C47" s="34" t="n">
        <f aca="false">IF(AND($R47="Sí",DIARIO!$H43=$B$2),N(DIARIO!$I43),0)</f>
        <v>0</v>
      </c>
      <c r="D47" s="35" t="n">
        <f aca="false">IF($C47=0,0,N(DIARIO!$L43)+IF(DIARIO!$K43="EUR",N(DIARIO!$J43),0))</f>
        <v>0</v>
      </c>
      <c r="E47" s="35" t="n">
        <f aca="false">IF($C47=0,0,$D47/$C47)</f>
        <v>0</v>
      </c>
      <c r="F47" s="36" t="str">
        <f aca="false">IF($C47=0,"",$T47)</f>
        <v/>
      </c>
      <c r="G47" s="36" t="str">
        <f aca="false">IF($C47=0,"",MAX(0,MIN($C47,$E$4-($T47-$C47))))</f>
        <v/>
      </c>
      <c r="H47" s="36" t="str">
        <f aca="false">IF($C47=0,"",$C47-$G47)</f>
        <v/>
      </c>
      <c r="J47" s="24" t="str">
        <f aca="false">IF($L47=0,"",DIARIO!$A43)</f>
        <v/>
      </c>
      <c r="K47" s="33" t="str">
        <f aca="false">IF($L47=0,"",DIARIO!$B43)</f>
        <v/>
      </c>
      <c r="L47" s="34" t="n">
        <f aca="false">IF(AND($S47="Sí",DIARIO!$F43=$B$2),N(DIARIO!$G43),0)</f>
        <v>0</v>
      </c>
      <c r="M47" s="36" t="str">
        <f aca="false">IF($L47=0,"",$U47)</f>
        <v/>
      </c>
      <c r="N47" s="37" t="str">
        <f aca="false">IF($L47=0,"",SUMPRODUCT($E$7:$E$106*((((($U47-($T$7:$T$106-$C$7:$C$106))+ABS(($U47-($T$7:$T$106-$C$7:$C$106))))/2)+$C$7:$C$106-ABS(((($U47-($T$7:$T$106-$C$7:$C$106))+ABS(($U47-($T$7:$T$106-$C$7:$C$106))))/2)-$C$7:$C$106))/2))-SUMPRODUCT($E$7:$E$106*(((((($U47-$L47)-($T$7:$T$106-$C$7:$C$106))+ABS((($U47-$L47)-($T$7:$T$106-$C$7:$C$106))))/2)+$C$7:$C$106-ABS((((($U47-$L47)-($T$7:$T$106-$C$7:$C$106))+ABS((($U47-$L47)-($T$7:$T$106-$C$7:$C$106))))/2)-$C$7:$C$106))/2)))</f>
        <v/>
      </c>
      <c r="O47" s="37" t="str">
        <f aca="false">IF($L47=0,"",N(DIARIO!$L43)-IF(DIARIO!$K43="EUR",N(DIARIO!$J43),0))</f>
        <v/>
      </c>
      <c r="P47" s="37" t="str">
        <f aca="false">IF($L47=0,"",$O47-$N47)</f>
        <v/>
      </c>
      <c r="R47" s="38" t="str">
        <f aca="false">IF(DIARIO!$C43="","",IFERROR(INDEX(PARÁMETROS!$D$5:$D$15,MATCH(DIARIO!$C43,PARÁMETROS!$A$5:$A$15,0)),""))</f>
        <v/>
      </c>
      <c r="S47" s="38" t="str">
        <f aca="false">IF(DIARIO!$C43="","",IFERROR(INDEX(PARÁMETROS!$E$5:$E$15,MATCH(DIARIO!$C43,PARÁMETROS!$A$5:$A$15,0)),""))</f>
        <v/>
      </c>
      <c r="T47" s="39" t="n">
        <f aca="false">SUM($C$7:$C47)</f>
        <v>0.55</v>
      </c>
      <c r="U47" s="39" t="n">
        <f aca="false">SUM($L$7:$L47)</f>
        <v>0</v>
      </c>
    </row>
    <row r="48" customFormat="false" ht="15" hidden="false" customHeight="false" outlineLevel="0" collapsed="false">
      <c r="A48" s="24" t="str">
        <f aca="false">IF($C48=0,"",DIARIO!$A44)</f>
        <v/>
      </c>
      <c r="B48" s="33" t="str">
        <f aca="false">IF($C48=0,"",DIARIO!$B44)</f>
        <v/>
      </c>
      <c r="C48" s="34" t="n">
        <f aca="false">IF(AND($R48="Sí",DIARIO!$H44=$B$2),N(DIARIO!$I44),0)</f>
        <v>0</v>
      </c>
      <c r="D48" s="35" t="n">
        <f aca="false">IF($C48=0,0,N(DIARIO!$L44)+IF(DIARIO!$K44="EUR",N(DIARIO!$J44),0))</f>
        <v>0</v>
      </c>
      <c r="E48" s="35" t="n">
        <f aca="false">IF($C48=0,0,$D48/$C48)</f>
        <v>0</v>
      </c>
      <c r="F48" s="36" t="str">
        <f aca="false">IF($C48=0,"",$T48)</f>
        <v/>
      </c>
      <c r="G48" s="36" t="str">
        <f aca="false">IF($C48=0,"",MAX(0,MIN($C48,$E$4-($T48-$C48))))</f>
        <v/>
      </c>
      <c r="H48" s="36" t="str">
        <f aca="false">IF($C48=0,"",$C48-$G48)</f>
        <v/>
      </c>
      <c r="J48" s="24" t="str">
        <f aca="false">IF($L48=0,"",DIARIO!$A44)</f>
        <v/>
      </c>
      <c r="K48" s="33" t="str">
        <f aca="false">IF($L48=0,"",DIARIO!$B44)</f>
        <v/>
      </c>
      <c r="L48" s="34" t="n">
        <f aca="false">IF(AND($S48="Sí",DIARIO!$F44=$B$2),N(DIARIO!$G44),0)</f>
        <v>0</v>
      </c>
      <c r="M48" s="36" t="str">
        <f aca="false">IF($L48=0,"",$U48)</f>
        <v/>
      </c>
      <c r="N48" s="37" t="str">
        <f aca="false">IF($L48=0,"",SUMPRODUCT($E$7:$E$106*((((($U48-($T$7:$T$106-$C$7:$C$106))+ABS(($U48-($T$7:$T$106-$C$7:$C$106))))/2)+$C$7:$C$106-ABS(((($U48-($T$7:$T$106-$C$7:$C$106))+ABS(($U48-($T$7:$T$106-$C$7:$C$106))))/2)-$C$7:$C$106))/2))-SUMPRODUCT($E$7:$E$106*(((((($U48-$L48)-($T$7:$T$106-$C$7:$C$106))+ABS((($U48-$L48)-($T$7:$T$106-$C$7:$C$106))))/2)+$C$7:$C$106-ABS((((($U48-$L48)-($T$7:$T$106-$C$7:$C$106))+ABS((($U48-$L48)-($T$7:$T$106-$C$7:$C$106))))/2)-$C$7:$C$106))/2)))</f>
        <v/>
      </c>
      <c r="O48" s="37" t="str">
        <f aca="false">IF($L48=0,"",N(DIARIO!$L44)-IF(DIARIO!$K44="EUR",N(DIARIO!$J44),0))</f>
        <v/>
      </c>
      <c r="P48" s="37" t="str">
        <f aca="false">IF($L48=0,"",$O48-$N48)</f>
        <v/>
      </c>
      <c r="R48" s="38" t="str">
        <f aca="false">IF(DIARIO!$C44="","",IFERROR(INDEX(PARÁMETROS!$D$5:$D$15,MATCH(DIARIO!$C44,PARÁMETROS!$A$5:$A$15,0)),""))</f>
        <v/>
      </c>
      <c r="S48" s="38" t="str">
        <f aca="false">IF(DIARIO!$C44="","",IFERROR(INDEX(PARÁMETROS!$E$5:$E$15,MATCH(DIARIO!$C44,PARÁMETROS!$A$5:$A$15,0)),""))</f>
        <v/>
      </c>
      <c r="T48" s="39" t="n">
        <f aca="false">SUM($C$7:$C48)</f>
        <v>0.55</v>
      </c>
      <c r="U48" s="39" t="n">
        <f aca="false">SUM($L$7:$L48)</f>
        <v>0</v>
      </c>
    </row>
    <row r="49" customFormat="false" ht="15" hidden="false" customHeight="false" outlineLevel="0" collapsed="false">
      <c r="A49" s="24" t="str">
        <f aca="false">IF($C49=0,"",DIARIO!$A45)</f>
        <v/>
      </c>
      <c r="B49" s="33" t="str">
        <f aca="false">IF($C49=0,"",DIARIO!$B45)</f>
        <v/>
      </c>
      <c r="C49" s="34" t="n">
        <f aca="false">IF(AND($R49="Sí",DIARIO!$H45=$B$2),N(DIARIO!$I45),0)</f>
        <v>0</v>
      </c>
      <c r="D49" s="35" t="n">
        <f aca="false">IF($C49=0,0,N(DIARIO!$L45)+IF(DIARIO!$K45="EUR",N(DIARIO!$J45),0))</f>
        <v>0</v>
      </c>
      <c r="E49" s="35" t="n">
        <f aca="false">IF($C49=0,0,$D49/$C49)</f>
        <v>0</v>
      </c>
      <c r="F49" s="36" t="str">
        <f aca="false">IF($C49=0,"",$T49)</f>
        <v/>
      </c>
      <c r="G49" s="36" t="str">
        <f aca="false">IF($C49=0,"",MAX(0,MIN($C49,$E$4-($T49-$C49))))</f>
        <v/>
      </c>
      <c r="H49" s="36" t="str">
        <f aca="false">IF($C49=0,"",$C49-$G49)</f>
        <v/>
      </c>
      <c r="J49" s="24" t="str">
        <f aca="false">IF($L49=0,"",DIARIO!$A45)</f>
        <v/>
      </c>
      <c r="K49" s="33" t="str">
        <f aca="false">IF($L49=0,"",DIARIO!$B45)</f>
        <v/>
      </c>
      <c r="L49" s="34" t="n">
        <f aca="false">IF(AND($S49="Sí",DIARIO!$F45=$B$2),N(DIARIO!$G45),0)</f>
        <v>0</v>
      </c>
      <c r="M49" s="36" t="str">
        <f aca="false">IF($L49=0,"",$U49)</f>
        <v/>
      </c>
      <c r="N49" s="37" t="str">
        <f aca="false">IF($L49=0,"",SUMPRODUCT($E$7:$E$106*((((($U49-($T$7:$T$106-$C$7:$C$106))+ABS(($U49-($T$7:$T$106-$C$7:$C$106))))/2)+$C$7:$C$106-ABS(((($U49-($T$7:$T$106-$C$7:$C$106))+ABS(($U49-($T$7:$T$106-$C$7:$C$106))))/2)-$C$7:$C$106))/2))-SUMPRODUCT($E$7:$E$106*(((((($U49-$L49)-($T$7:$T$106-$C$7:$C$106))+ABS((($U49-$L49)-($T$7:$T$106-$C$7:$C$106))))/2)+$C$7:$C$106-ABS((((($U49-$L49)-($T$7:$T$106-$C$7:$C$106))+ABS((($U49-$L49)-($T$7:$T$106-$C$7:$C$106))))/2)-$C$7:$C$106))/2)))</f>
        <v/>
      </c>
      <c r="O49" s="37" t="str">
        <f aca="false">IF($L49=0,"",N(DIARIO!$L45)-IF(DIARIO!$K45="EUR",N(DIARIO!$J45),0))</f>
        <v/>
      </c>
      <c r="P49" s="37" t="str">
        <f aca="false">IF($L49=0,"",$O49-$N49)</f>
        <v/>
      </c>
      <c r="R49" s="38" t="str">
        <f aca="false">IF(DIARIO!$C45="","",IFERROR(INDEX(PARÁMETROS!$D$5:$D$15,MATCH(DIARIO!$C45,PARÁMETROS!$A$5:$A$15,0)),""))</f>
        <v/>
      </c>
      <c r="S49" s="38" t="str">
        <f aca="false">IF(DIARIO!$C45="","",IFERROR(INDEX(PARÁMETROS!$E$5:$E$15,MATCH(DIARIO!$C45,PARÁMETROS!$A$5:$A$15,0)),""))</f>
        <v/>
      </c>
      <c r="T49" s="39" t="n">
        <f aca="false">SUM($C$7:$C49)</f>
        <v>0.55</v>
      </c>
      <c r="U49" s="39" t="n">
        <f aca="false">SUM($L$7:$L49)</f>
        <v>0</v>
      </c>
    </row>
    <row r="50" customFormat="false" ht="15" hidden="false" customHeight="false" outlineLevel="0" collapsed="false">
      <c r="A50" s="24" t="str">
        <f aca="false">IF($C50=0,"",DIARIO!$A46)</f>
        <v/>
      </c>
      <c r="B50" s="33" t="str">
        <f aca="false">IF($C50=0,"",DIARIO!$B46)</f>
        <v/>
      </c>
      <c r="C50" s="34" t="n">
        <f aca="false">IF(AND($R50="Sí",DIARIO!$H46=$B$2),N(DIARIO!$I46),0)</f>
        <v>0</v>
      </c>
      <c r="D50" s="35" t="n">
        <f aca="false">IF($C50=0,0,N(DIARIO!$L46)+IF(DIARIO!$K46="EUR",N(DIARIO!$J46),0))</f>
        <v>0</v>
      </c>
      <c r="E50" s="35" t="n">
        <f aca="false">IF($C50=0,0,$D50/$C50)</f>
        <v>0</v>
      </c>
      <c r="F50" s="36" t="str">
        <f aca="false">IF($C50=0,"",$T50)</f>
        <v/>
      </c>
      <c r="G50" s="36" t="str">
        <f aca="false">IF($C50=0,"",MAX(0,MIN($C50,$E$4-($T50-$C50))))</f>
        <v/>
      </c>
      <c r="H50" s="36" t="str">
        <f aca="false">IF($C50=0,"",$C50-$G50)</f>
        <v/>
      </c>
      <c r="J50" s="24" t="str">
        <f aca="false">IF($L50=0,"",DIARIO!$A46)</f>
        <v/>
      </c>
      <c r="K50" s="33" t="str">
        <f aca="false">IF($L50=0,"",DIARIO!$B46)</f>
        <v/>
      </c>
      <c r="L50" s="34" t="n">
        <f aca="false">IF(AND($S50="Sí",DIARIO!$F46=$B$2),N(DIARIO!$G46),0)</f>
        <v>0</v>
      </c>
      <c r="M50" s="36" t="str">
        <f aca="false">IF($L50=0,"",$U50)</f>
        <v/>
      </c>
      <c r="N50" s="37" t="str">
        <f aca="false">IF($L50=0,"",SUMPRODUCT($E$7:$E$106*((((($U50-($T$7:$T$106-$C$7:$C$106))+ABS(($U50-($T$7:$T$106-$C$7:$C$106))))/2)+$C$7:$C$106-ABS(((($U50-($T$7:$T$106-$C$7:$C$106))+ABS(($U50-($T$7:$T$106-$C$7:$C$106))))/2)-$C$7:$C$106))/2))-SUMPRODUCT($E$7:$E$106*(((((($U50-$L50)-($T$7:$T$106-$C$7:$C$106))+ABS((($U50-$L50)-($T$7:$T$106-$C$7:$C$106))))/2)+$C$7:$C$106-ABS((((($U50-$L50)-($T$7:$T$106-$C$7:$C$106))+ABS((($U50-$L50)-($T$7:$T$106-$C$7:$C$106))))/2)-$C$7:$C$106))/2)))</f>
        <v/>
      </c>
      <c r="O50" s="37" t="str">
        <f aca="false">IF($L50=0,"",N(DIARIO!$L46)-IF(DIARIO!$K46="EUR",N(DIARIO!$J46),0))</f>
        <v/>
      </c>
      <c r="P50" s="37" t="str">
        <f aca="false">IF($L50=0,"",$O50-$N50)</f>
        <v/>
      </c>
      <c r="R50" s="38" t="str">
        <f aca="false">IF(DIARIO!$C46="","",IFERROR(INDEX(PARÁMETROS!$D$5:$D$15,MATCH(DIARIO!$C46,PARÁMETROS!$A$5:$A$15,0)),""))</f>
        <v/>
      </c>
      <c r="S50" s="38" t="str">
        <f aca="false">IF(DIARIO!$C46="","",IFERROR(INDEX(PARÁMETROS!$E$5:$E$15,MATCH(DIARIO!$C46,PARÁMETROS!$A$5:$A$15,0)),""))</f>
        <v/>
      </c>
      <c r="T50" s="39" t="n">
        <f aca="false">SUM($C$7:$C50)</f>
        <v>0.55</v>
      </c>
      <c r="U50" s="39" t="n">
        <f aca="false">SUM($L$7:$L50)</f>
        <v>0</v>
      </c>
    </row>
    <row r="51" customFormat="false" ht="15" hidden="false" customHeight="false" outlineLevel="0" collapsed="false">
      <c r="A51" s="24" t="str">
        <f aca="false">IF($C51=0,"",DIARIO!$A47)</f>
        <v/>
      </c>
      <c r="B51" s="33" t="str">
        <f aca="false">IF($C51=0,"",DIARIO!$B47)</f>
        <v/>
      </c>
      <c r="C51" s="34" t="n">
        <f aca="false">IF(AND($R51="Sí",DIARIO!$H47=$B$2),N(DIARIO!$I47),0)</f>
        <v>0</v>
      </c>
      <c r="D51" s="35" t="n">
        <f aca="false">IF($C51=0,0,N(DIARIO!$L47)+IF(DIARIO!$K47="EUR",N(DIARIO!$J47),0))</f>
        <v>0</v>
      </c>
      <c r="E51" s="35" t="n">
        <f aca="false">IF($C51=0,0,$D51/$C51)</f>
        <v>0</v>
      </c>
      <c r="F51" s="36" t="str">
        <f aca="false">IF($C51=0,"",$T51)</f>
        <v/>
      </c>
      <c r="G51" s="36" t="str">
        <f aca="false">IF($C51=0,"",MAX(0,MIN($C51,$E$4-($T51-$C51))))</f>
        <v/>
      </c>
      <c r="H51" s="36" t="str">
        <f aca="false">IF($C51=0,"",$C51-$G51)</f>
        <v/>
      </c>
      <c r="J51" s="24" t="str">
        <f aca="false">IF($L51=0,"",DIARIO!$A47)</f>
        <v/>
      </c>
      <c r="K51" s="33" t="str">
        <f aca="false">IF($L51=0,"",DIARIO!$B47)</f>
        <v/>
      </c>
      <c r="L51" s="34" t="n">
        <f aca="false">IF(AND($S51="Sí",DIARIO!$F47=$B$2),N(DIARIO!$G47),0)</f>
        <v>0</v>
      </c>
      <c r="M51" s="36" t="str">
        <f aca="false">IF($L51=0,"",$U51)</f>
        <v/>
      </c>
      <c r="N51" s="37" t="str">
        <f aca="false">IF($L51=0,"",SUMPRODUCT($E$7:$E$106*((((($U51-($T$7:$T$106-$C$7:$C$106))+ABS(($U51-($T$7:$T$106-$C$7:$C$106))))/2)+$C$7:$C$106-ABS(((($U51-($T$7:$T$106-$C$7:$C$106))+ABS(($U51-($T$7:$T$106-$C$7:$C$106))))/2)-$C$7:$C$106))/2))-SUMPRODUCT($E$7:$E$106*(((((($U51-$L51)-($T$7:$T$106-$C$7:$C$106))+ABS((($U51-$L51)-($T$7:$T$106-$C$7:$C$106))))/2)+$C$7:$C$106-ABS((((($U51-$L51)-($T$7:$T$106-$C$7:$C$106))+ABS((($U51-$L51)-($T$7:$T$106-$C$7:$C$106))))/2)-$C$7:$C$106))/2)))</f>
        <v/>
      </c>
      <c r="O51" s="37" t="str">
        <f aca="false">IF($L51=0,"",N(DIARIO!$L47)-IF(DIARIO!$K47="EUR",N(DIARIO!$J47),0))</f>
        <v/>
      </c>
      <c r="P51" s="37" t="str">
        <f aca="false">IF($L51=0,"",$O51-$N51)</f>
        <v/>
      </c>
      <c r="R51" s="38" t="str">
        <f aca="false">IF(DIARIO!$C47="","",IFERROR(INDEX(PARÁMETROS!$D$5:$D$15,MATCH(DIARIO!$C47,PARÁMETROS!$A$5:$A$15,0)),""))</f>
        <v/>
      </c>
      <c r="S51" s="38" t="str">
        <f aca="false">IF(DIARIO!$C47="","",IFERROR(INDEX(PARÁMETROS!$E$5:$E$15,MATCH(DIARIO!$C47,PARÁMETROS!$A$5:$A$15,0)),""))</f>
        <v/>
      </c>
      <c r="T51" s="39" t="n">
        <f aca="false">SUM($C$7:$C51)</f>
        <v>0.55</v>
      </c>
      <c r="U51" s="39" t="n">
        <f aca="false">SUM($L$7:$L51)</f>
        <v>0</v>
      </c>
    </row>
    <row r="52" customFormat="false" ht="15" hidden="false" customHeight="false" outlineLevel="0" collapsed="false">
      <c r="A52" s="24" t="str">
        <f aca="false">IF($C52=0,"",DIARIO!$A48)</f>
        <v/>
      </c>
      <c r="B52" s="33" t="str">
        <f aca="false">IF($C52=0,"",DIARIO!$B48)</f>
        <v/>
      </c>
      <c r="C52" s="34" t="n">
        <f aca="false">IF(AND($R52="Sí",DIARIO!$H48=$B$2),N(DIARIO!$I48),0)</f>
        <v>0</v>
      </c>
      <c r="D52" s="35" t="n">
        <f aca="false">IF($C52=0,0,N(DIARIO!$L48)+IF(DIARIO!$K48="EUR",N(DIARIO!$J48),0))</f>
        <v>0</v>
      </c>
      <c r="E52" s="35" t="n">
        <f aca="false">IF($C52=0,0,$D52/$C52)</f>
        <v>0</v>
      </c>
      <c r="F52" s="36" t="str">
        <f aca="false">IF($C52=0,"",$T52)</f>
        <v/>
      </c>
      <c r="G52" s="36" t="str">
        <f aca="false">IF($C52=0,"",MAX(0,MIN($C52,$E$4-($T52-$C52))))</f>
        <v/>
      </c>
      <c r="H52" s="36" t="str">
        <f aca="false">IF($C52=0,"",$C52-$G52)</f>
        <v/>
      </c>
      <c r="J52" s="24" t="str">
        <f aca="false">IF($L52=0,"",DIARIO!$A48)</f>
        <v/>
      </c>
      <c r="K52" s="33" t="str">
        <f aca="false">IF($L52=0,"",DIARIO!$B48)</f>
        <v/>
      </c>
      <c r="L52" s="34" t="n">
        <f aca="false">IF(AND($S52="Sí",DIARIO!$F48=$B$2),N(DIARIO!$G48),0)</f>
        <v>0</v>
      </c>
      <c r="M52" s="36" t="str">
        <f aca="false">IF($L52=0,"",$U52)</f>
        <v/>
      </c>
      <c r="N52" s="37" t="str">
        <f aca="false">IF($L52=0,"",SUMPRODUCT($E$7:$E$106*((((($U52-($T$7:$T$106-$C$7:$C$106))+ABS(($U52-($T$7:$T$106-$C$7:$C$106))))/2)+$C$7:$C$106-ABS(((($U52-($T$7:$T$106-$C$7:$C$106))+ABS(($U52-($T$7:$T$106-$C$7:$C$106))))/2)-$C$7:$C$106))/2))-SUMPRODUCT($E$7:$E$106*(((((($U52-$L52)-($T$7:$T$106-$C$7:$C$106))+ABS((($U52-$L52)-($T$7:$T$106-$C$7:$C$106))))/2)+$C$7:$C$106-ABS((((($U52-$L52)-($T$7:$T$106-$C$7:$C$106))+ABS((($U52-$L52)-($T$7:$T$106-$C$7:$C$106))))/2)-$C$7:$C$106))/2)))</f>
        <v/>
      </c>
      <c r="O52" s="37" t="str">
        <f aca="false">IF($L52=0,"",N(DIARIO!$L48)-IF(DIARIO!$K48="EUR",N(DIARIO!$J48),0))</f>
        <v/>
      </c>
      <c r="P52" s="37" t="str">
        <f aca="false">IF($L52=0,"",$O52-$N52)</f>
        <v/>
      </c>
      <c r="R52" s="38" t="str">
        <f aca="false">IF(DIARIO!$C48="","",IFERROR(INDEX(PARÁMETROS!$D$5:$D$15,MATCH(DIARIO!$C48,PARÁMETROS!$A$5:$A$15,0)),""))</f>
        <v/>
      </c>
      <c r="S52" s="38" t="str">
        <f aca="false">IF(DIARIO!$C48="","",IFERROR(INDEX(PARÁMETROS!$E$5:$E$15,MATCH(DIARIO!$C48,PARÁMETROS!$A$5:$A$15,0)),""))</f>
        <v/>
      </c>
      <c r="T52" s="39" t="n">
        <f aca="false">SUM($C$7:$C52)</f>
        <v>0.55</v>
      </c>
      <c r="U52" s="39" t="n">
        <f aca="false">SUM($L$7:$L52)</f>
        <v>0</v>
      </c>
    </row>
    <row r="53" customFormat="false" ht="15" hidden="false" customHeight="false" outlineLevel="0" collapsed="false">
      <c r="A53" s="24" t="str">
        <f aca="false">IF($C53=0,"",DIARIO!$A49)</f>
        <v/>
      </c>
      <c r="B53" s="33" t="str">
        <f aca="false">IF($C53=0,"",DIARIO!$B49)</f>
        <v/>
      </c>
      <c r="C53" s="34" t="n">
        <f aca="false">IF(AND($R53="Sí",DIARIO!$H49=$B$2),N(DIARIO!$I49),0)</f>
        <v>0</v>
      </c>
      <c r="D53" s="35" t="n">
        <f aca="false">IF($C53=0,0,N(DIARIO!$L49)+IF(DIARIO!$K49="EUR",N(DIARIO!$J49),0))</f>
        <v>0</v>
      </c>
      <c r="E53" s="35" t="n">
        <f aca="false">IF($C53=0,0,$D53/$C53)</f>
        <v>0</v>
      </c>
      <c r="F53" s="36" t="str">
        <f aca="false">IF($C53=0,"",$T53)</f>
        <v/>
      </c>
      <c r="G53" s="36" t="str">
        <f aca="false">IF($C53=0,"",MAX(0,MIN($C53,$E$4-($T53-$C53))))</f>
        <v/>
      </c>
      <c r="H53" s="36" t="str">
        <f aca="false">IF($C53=0,"",$C53-$G53)</f>
        <v/>
      </c>
      <c r="J53" s="24" t="str">
        <f aca="false">IF($L53=0,"",DIARIO!$A49)</f>
        <v/>
      </c>
      <c r="K53" s="33" t="str">
        <f aca="false">IF($L53=0,"",DIARIO!$B49)</f>
        <v/>
      </c>
      <c r="L53" s="34" t="n">
        <f aca="false">IF(AND($S53="Sí",DIARIO!$F49=$B$2),N(DIARIO!$G49),0)</f>
        <v>0</v>
      </c>
      <c r="M53" s="36" t="str">
        <f aca="false">IF($L53=0,"",$U53)</f>
        <v/>
      </c>
      <c r="N53" s="37" t="str">
        <f aca="false">IF($L53=0,"",SUMPRODUCT($E$7:$E$106*((((($U53-($T$7:$T$106-$C$7:$C$106))+ABS(($U53-($T$7:$T$106-$C$7:$C$106))))/2)+$C$7:$C$106-ABS(((($U53-($T$7:$T$106-$C$7:$C$106))+ABS(($U53-($T$7:$T$106-$C$7:$C$106))))/2)-$C$7:$C$106))/2))-SUMPRODUCT($E$7:$E$106*(((((($U53-$L53)-($T$7:$T$106-$C$7:$C$106))+ABS((($U53-$L53)-($T$7:$T$106-$C$7:$C$106))))/2)+$C$7:$C$106-ABS((((($U53-$L53)-($T$7:$T$106-$C$7:$C$106))+ABS((($U53-$L53)-($T$7:$T$106-$C$7:$C$106))))/2)-$C$7:$C$106))/2)))</f>
        <v/>
      </c>
      <c r="O53" s="37" t="str">
        <f aca="false">IF($L53=0,"",N(DIARIO!$L49)-IF(DIARIO!$K49="EUR",N(DIARIO!$J49),0))</f>
        <v/>
      </c>
      <c r="P53" s="37" t="str">
        <f aca="false">IF($L53=0,"",$O53-$N53)</f>
        <v/>
      </c>
      <c r="R53" s="38" t="str">
        <f aca="false">IF(DIARIO!$C49="","",IFERROR(INDEX(PARÁMETROS!$D$5:$D$15,MATCH(DIARIO!$C49,PARÁMETROS!$A$5:$A$15,0)),""))</f>
        <v/>
      </c>
      <c r="S53" s="38" t="str">
        <f aca="false">IF(DIARIO!$C49="","",IFERROR(INDEX(PARÁMETROS!$E$5:$E$15,MATCH(DIARIO!$C49,PARÁMETROS!$A$5:$A$15,0)),""))</f>
        <v/>
      </c>
      <c r="T53" s="39" t="n">
        <f aca="false">SUM($C$7:$C53)</f>
        <v>0.55</v>
      </c>
      <c r="U53" s="39" t="n">
        <f aca="false">SUM($L$7:$L53)</f>
        <v>0</v>
      </c>
    </row>
    <row r="54" customFormat="false" ht="15" hidden="false" customHeight="false" outlineLevel="0" collapsed="false">
      <c r="A54" s="24" t="str">
        <f aca="false">IF($C54=0,"",DIARIO!$A50)</f>
        <v/>
      </c>
      <c r="B54" s="33" t="str">
        <f aca="false">IF($C54=0,"",DIARIO!$B50)</f>
        <v/>
      </c>
      <c r="C54" s="34" t="n">
        <f aca="false">IF(AND($R54="Sí",DIARIO!$H50=$B$2),N(DIARIO!$I50),0)</f>
        <v>0</v>
      </c>
      <c r="D54" s="35" t="n">
        <f aca="false">IF($C54=0,0,N(DIARIO!$L50)+IF(DIARIO!$K50="EUR",N(DIARIO!$J50),0))</f>
        <v>0</v>
      </c>
      <c r="E54" s="35" t="n">
        <f aca="false">IF($C54=0,0,$D54/$C54)</f>
        <v>0</v>
      </c>
      <c r="F54" s="36" t="str">
        <f aca="false">IF($C54=0,"",$T54)</f>
        <v/>
      </c>
      <c r="G54" s="36" t="str">
        <f aca="false">IF($C54=0,"",MAX(0,MIN($C54,$E$4-($T54-$C54))))</f>
        <v/>
      </c>
      <c r="H54" s="36" t="str">
        <f aca="false">IF($C54=0,"",$C54-$G54)</f>
        <v/>
      </c>
      <c r="J54" s="24" t="str">
        <f aca="false">IF($L54=0,"",DIARIO!$A50)</f>
        <v/>
      </c>
      <c r="K54" s="33" t="str">
        <f aca="false">IF($L54=0,"",DIARIO!$B50)</f>
        <v/>
      </c>
      <c r="L54" s="34" t="n">
        <f aca="false">IF(AND($S54="Sí",DIARIO!$F50=$B$2),N(DIARIO!$G50),0)</f>
        <v>0</v>
      </c>
      <c r="M54" s="36" t="str">
        <f aca="false">IF($L54=0,"",$U54)</f>
        <v/>
      </c>
      <c r="N54" s="37" t="str">
        <f aca="false">IF($L54=0,"",SUMPRODUCT($E$7:$E$106*((((($U54-($T$7:$T$106-$C$7:$C$106))+ABS(($U54-($T$7:$T$106-$C$7:$C$106))))/2)+$C$7:$C$106-ABS(((($U54-($T$7:$T$106-$C$7:$C$106))+ABS(($U54-($T$7:$T$106-$C$7:$C$106))))/2)-$C$7:$C$106))/2))-SUMPRODUCT($E$7:$E$106*(((((($U54-$L54)-($T$7:$T$106-$C$7:$C$106))+ABS((($U54-$L54)-($T$7:$T$106-$C$7:$C$106))))/2)+$C$7:$C$106-ABS((((($U54-$L54)-($T$7:$T$106-$C$7:$C$106))+ABS((($U54-$L54)-($T$7:$T$106-$C$7:$C$106))))/2)-$C$7:$C$106))/2)))</f>
        <v/>
      </c>
      <c r="O54" s="37" t="str">
        <f aca="false">IF($L54=0,"",N(DIARIO!$L50)-IF(DIARIO!$K50="EUR",N(DIARIO!$J50),0))</f>
        <v/>
      </c>
      <c r="P54" s="37" t="str">
        <f aca="false">IF($L54=0,"",$O54-$N54)</f>
        <v/>
      </c>
      <c r="R54" s="38" t="str">
        <f aca="false">IF(DIARIO!$C50="","",IFERROR(INDEX(PARÁMETROS!$D$5:$D$15,MATCH(DIARIO!$C50,PARÁMETROS!$A$5:$A$15,0)),""))</f>
        <v/>
      </c>
      <c r="S54" s="38" t="str">
        <f aca="false">IF(DIARIO!$C50="","",IFERROR(INDEX(PARÁMETROS!$E$5:$E$15,MATCH(DIARIO!$C50,PARÁMETROS!$A$5:$A$15,0)),""))</f>
        <v/>
      </c>
      <c r="T54" s="39" t="n">
        <f aca="false">SUM($C$7:$C54)</f>
        <v>0.55</v>
      </c>
      <c r="U54" s="39" t="n">
        <f aca="false">SUM($L$7:$L54)</f>
        <v>0</v>
      </c>
    </row>
    <row r="55" customFormat="false" ht="15" hidden="false" customHeight="false" outlineLevel="0" collapsed="false">
      <c r="A55" s="24" t="str">
        <f aca="false">IF($C55=0,"",DIARIO!$A51)</f>
        <v/>
      </c>
      <c r="B55" s="33" t="str">
        <f aca="false">IF($C55=0,"",DIARIO!$B51)</f>
        <v/>
      </c>
      <c r="C55" s="34" t="n">
        <f aca="false">IF(AND($R55="Sí",DIARIO!$H51=$B$2),N(DIARIO!$I51),0)</f>
        <v>0</v>
      </c>
      <c r="D55" s="35" t="n">
        <f aca="false">IF($C55=0,0,N(DIARIO!$L51)+IF(DIARIO!$K51="EUR",N(DIARIO!$J51),0))</f>
        <v>0</v>
      </c>
      <c r="E55" s="35" t="n">
        <f aca="false">IF($C55=0,0,$D55/$C55)</f>
        <v>0</v>
      </c>
      <c r="F55" s="36" t="str">
        <f aca="false">IF($C55=0,"",$T55)</f>
        <v/>
      </c>
      <c r="G55" s="36" t="str">
        <f aca="false">IF($C55=0,"",MAX(0,MIN($C55,$E$4-($T55-$C55))))</f>
        <v/>
      </c>
      <c r="H55" s="36" t="str">
        <f aca="false">IF($C55=0,"",$C55-$G55)</f>
        <v/>
      </c>
      <c r="J55" s="24" t="str">
        <f aca="false">IF($L55=0,"",DIARIO!$A51)</f>
        <v/>
      </c>
      <c r="K55" s="33" t="str">
        <f aca="false">IF($L55=0,"",DIARIO!$B51)</f>
        <v/>
      </c>
      <c r="L55" s="34" t="n">
        <f aca="false">IF(AND($S55="Sí",DIARIO!$F51=$B$2),N(DIARIO!$G51),0)</f>
        <v>0</v>
      </c>
      <c r="M55" s="36" t="str">
        <f aca="false">IF($L55=0,"",$U55)</f>
        <v/>
      </c>
      <c r="N55" s="37" t="str">
        <f aca="false">IF($L55=0,"",SUMPRODUCT($E$7:$E$106*((((($U55-($T$7:$T$106-$C$7:$C$106))+ABS(($U55-($T$7:$T$106-$C$7:$C$106))))/2)+$C$7:$C$106-ABS(((($U55-($T$7:$T$106-$C$7:$C$106))+ABS(($U55-($T$7:$T$106-$C$7:$C$106))))/2)-$C$7:$C$106))/2))-SUMPRODUCT($E$7:$E$106*(((((($U55-$L55)-($T$7:$T$106-$C$7:$C$106))+ABS((($U55-$L55)-($T$7:$T$106-$C$7:$C$106))))/2)+$C$7:$C$106-ABS((((($U55-$L55)-($T$7:$T$106-$C$7:$C$106))+ABS((($U55-$L55)-($T$7:$T$106-$C$7:$C$106))))/2)-$C$7:$C$106))/2)))</f>
        <v/>
      </c>
      <c r="O55" s="37" t="str">
        <f aca="false">IF($L55=0,"",N(DIARIO!$L51)-IF(DIARIO!$K51="EUR",N(DIARIO!$J51),0))</f>
        <v/>
      </c>
      <c r="P55" s="37" t="str">
        <f aca="false">IF($L55=0,"",$O55-$N55)</f>
        <v/>
      </c>
      <c r="R55" s="38" t="str">
        <f aca="false">IF(DIARIO!$C51="","",IFERROR(INDEX(PARÁMETROS!$D$5:$D$15,MATCH(DIARIO!$C51,PARÁMETROS!$A$5:$A$15,0)),""))</f>
        <v/>
      </c>
      <c r="S55" s="38" t="str">
        <f aca="false">IF(DIARIO!$C51="","",IFERROR(INDEX(PARÁMETROS!$E$5:$E$15,MATCH(DIARIO!$C51,PARÁMETROS!$A$5:$A$15,0)),""))</f>
        <v/>
      </c>
      <c r="T55" s="39" t="n">
        <f aca="false">SUM($C$7:$C55)</f>
        <v>0.55</v>
      </c>
      <c r="U55" s="39" t="n">
        <f aca="false">SUM($L$7:$L55)</f>
        <v>0</v>
      </c>
    </row>
    <row r="56" customFormat="false" ht="15" hidden="false" customHeight="false" outlineLevel="0" collapsed="false">
      <c r="A56" s="24" t="str">
        <f aca="false">IF($C56=0,"",DIARIO!$A52)</f>
        <v/>
      </c>
      <c r="B56" s="33" t="str">
        <f aca="false">IF($C56=0,"",DIARIO!$B52)</f>
        <v/>
      </c>
      <c r="C56" s="34" t="n">
        <f aca="false">IF(AND($R56="Sí",DIARIO!$H52=$B$2),N(DIARIO!$I52),0)</f>
        <v>0</v>
      </c>
      <c r="D56" s="35" t="n">
        <f aca="false">IF($C56=0,0,N(DIARIO!$L52)+IF(DIARIO!$K52="EUR",N(DIARIO!$J52),0))</f>
        <v>0</v>
      </c>
      <c r="E56" s="35" t="n">
        <f aca="false">IF($C56=0,0,$D56/$C56)</f>
        <v>0</v>
      </c>
      <c r="F56" s="36" t="str">
        <f aca="false">IF($C56=0,"",$T56)</f>
        <v/>
      </c>
      <c r="G56" s="36" t="str">
        <f aca="false">IF($C56=0,"",MAX(0,MIN($C56,$E$4-($T56-$C56))))</f>
        <v/>
      </c>
      <c r="H56" s="36" t="str">
        <f aca="false">IF($C56=0,"",$C56-$G56)</f>
        <v/>
      </c>
      <c r="J56" s="24" t="str">
        <f aca="false">IF($L56=0,"",DIARIO!$A52)</f>
        <v/>
      </c>
      <c r="K56" s="33" t="str">
        <f aca="false">IF($L56=0,"",DIARIO!$B52)</f>
        <v/>
      </c>
      <c r="L56" s="34" t="n">
        <f aca="false">IF(AND($S56="Sí",DIARIO!$F52=$B$2),N(DIARIO!$G52),0)</f>
        <v>0</v>
      </c>
      <c r="M56" s="36" t="str">
        <f aca="false">IF($L56=0,"",$U56)</f>
        <v/>
      </c>
      <c r="N56" s="37" t="str">
        <f aca="false">IF($L56=0,"",SUMPRODUCT($E$7:$E$106*((((($U56-($T$7:$T$106-$C$7:$C$106))+ABS(($U56-($T$7:$T$106-$C$7:$C$106))))/2)+$C$7:$C$106-ABS(((($U56-($T$7:$T$106-$C$7:$C$106))+ABS(($U56-($T$7:$T$106-$C$7:$C$106))))/2)-$C$7:$C$106))/2))-SUMPRODUCT($E$7:$E$106*(((((($U56-$L56)-($T$7:$T$106-$C$7:$C$106))+ABS((($U56-$L56)-($T$7:$T$106-$C$7:$C$106))))/2)+$C$7:$C$106-ABS((((($U56-$L56)-($T$7:$T$106-$C$7:$C$106))+ABS((($U56-$L56)-($T$7:$T$106-$C$7:$C$106))))/2)-$C$7:$C$106))/2)))</f>
        <v/>
      </c>
      <c r="O56" s="37" t="str">
        <f aca="false">IF($L56=0,"",N(DIARIO!$L52)-IF(DIARIO!$K52="EUR",N(DIARIO!$J52),0))</f>
        <v/>
      </c>
      <c r="P56" s="37" t="str">
        <f aca="false">IF($L56=0,"",$O56-$N56)</f>
        <v/>
      </c>
      <c r="R56" s="38" t="str">
        <f aca="false">IF(DIARIO!$C52="","",IFERROR(INDEX(PARÁMETROS!$D$5:$D$15,MATCH(DIARIO!$C52,PARÁMETROS!$A$5:$A$15,0)),""))</f>
        <v/>
      </c>
      <c r="S56" s="38" t="str">
        <f aca="false">IF(DIARIO!$C52="","",IFERROR(INDEX(PARÁMETROS!$E$5:$E$15,MATCH(DIARIO!$C52,PARÁMETROS!$A$5:$A$15,0)),""))</f>
        <v/>
      </c>
      <c r="T56" s="39" t="n">
        <f aca="false">SUM($C$7:$C56)</f>
        <v>0.55</v>
      </c>
      <c r="U56" s="39" t="n">
        <f aca="false">SUM($L$7:$L56)</f>
        <v>0</v>
      </c>
    </row>
    <row r="57" customFormat="false" ht="15" hidden="false" customHeight="false" outlineLevel="0" collapsed="false">
      <c r="A57" s="24" t="str">
        <f aca="false">IF($C57=0,"",DIARIO!$A53)</f>
        <v/>
      </c>
      <c r="B57" s="33" t="str">
        <f aca="false">IF($C57=0,"",DIARIO!$B53)</f>
        <v/>
      </c>
      <c r="C57" s="34" t="n">
        <f aca="false">IF(AND($R57="Sí",DIARIO!$H53=$B$2),N(DIARIO!$I53),0)</f>
        <v>0</v>
      </c>
      <c r="D57" s="35" t="n">
        <f aca="false">IF($C57=0,0,N(DIARIO!$L53)+IF(DIARIO!$K53="EUR",N(DIARIO!$J53),0))</f>
        <v>0</v>
      </c>
      <c r="E57" s="35" t="n">
        <f aca="false">IF($C57=0,0,$D57/$C57)</f>
        <v>0</v>
      </c>
      <c r="F57" s="36" t="str">
        <f aca="false">IF($C57=0,"",$T57)</f>
        <v/>
      </c>
      <c r="G57" s="36" t="str">
        <f aca="false">IF($C57=0,"",MAX(0,MIN($C57,$E$4-($T57-$C57))))</f>
        <v/>
      </c>
      <c r="H57" s="36" t="str">
        <f aca="false">IF($C57=0,"",$C57-$G57)</f>
        <v/>
      </c>
      <c r="J57" s="24" t="str">
        <f aca="false">IF($L57=0,"",DIARIO!$A53)</f>
        <v/>
      </c>
      <c r="K57" s="33" t="str">
        <f aca="false">IF($L57=0,"",DIARIO!$B53)</f>
        <v/>
      </c>
      <c r="L57" s="34" t="n">
        <f aca="false">IF(AND($S57="Sí",DIARIO!$F53=$B$2),N(DIARIO!$G53),0)</f>
        <v>0</v>
      </c>
      <c r="M57" s="36" t="str">
        <f aca="false">IF($L57=0,"",$U57)</f>
        <v/>
      </c>
      <c r="N57" s="37" t="str">
        <f aca="false">IF($L57=0,"",SUMPRODUCT($E$7:$E$106*((((($U57-($T$7:$T$106-$C$7:$C$106))+ABS(($U57-($T$7:$T$106-$C$7:$C$106))))/2)+$C$7:$C$106-ABS(((($U57-($T$7:$T$106-$C$7:$C$106))+ABS(($U57-($T$7:$T$106-$C$7:$C$106))))/2)-$C$7:$C$106))/2))-SUMPRODUCT($E$7:$E$106*(((((($U57-$L57)-($T$7:$T$106-$C$7:$C$106))+ABS((($U57-$L57)-($T$7:$T$106-$C$7:$C$106))))/2)+$C$7:$C$106-ABS((((($U57-$L57)-($T$7:$T$106-$C$7:$C$106))+ABS((($U57-$L57)-($T$7:$T$106-$C$7:$C$106))))/2)-$C$7:$C$106))/2)))</f>
        <v/>
      </c>
      <c r="O57" s="37" t="str">
        <f aca="false">IF($L57=0,"",N(DIARIO!$L53)-IF(DIARIO!$K53="EUR",N(DIARIO!$J53),0))</f>
        <v/>
      </c>
      <c r="P57" s="37" t="str">
        <f aca="false">IF($L57=0,"",$O57-$N57)</f>
        <v/>
      </c>
      <c r="R57" s="38" t="str">
        <f aca="false">IF(DIARIO!$C53="","",IFERROR(INDEX(PARÁMETROS!$D$5:$D$15,MATCH(DIARIO!$C53,PARÁMETROS!$A$5:$A$15,0)),""))</f>
        <v/>
      </c>
      <c r="S57" s="38" t="str">
        <f aca="false">IF(DIARIO!$C53="","",IFERROR(INDEX(PARÁMETROS!$E$5:$E$15,MATCH(DIARIO!$C53,PARÁMETROS!$A$5:$A$15,0)),""))</f>
        <v/>
      </c>
      <c r="T57" s="39" t="n">
        <f aca="false">SUM($C$7:$C57)</f>
        <v>0.55</v>
      </c>
      <c r="U57" s="39" t="n">
        <f aca="false">SUM($L$7:$L57)</f>
        <v>0</v>
      </c>
    </row>
    <row r="58" customFormat="false" ht="15" hidden="false" customHeight="false" outlineLevel="0" collapsed="false">
      <c r="A58" s="24" t="str">
        <f aca="false">IF($C58=0,"",DIARIO!$A54)</f>
        <v/>
      </c>
      <c r="B58" s="33" t="str">
        <f aca="false">IF($C58=0,"",DIARIO!$B54)</f>
        <v/>
      </c>
      <c r="C58" s="34" t="n">
        <f aca="false">IF(AND($R58="Sí",DIARIO!$H54=$B$2),N(DIARIO!$I54),0)</f>
        <v>0</v>
      </c>
      <c r="D58" s="35" t="n">
        <f aca="false">IF($C58=0,0,N(DIARIO!$L54)+IF(DIARIO!$K54="EUR",N(DIARIO!$J54),0))</f>
        <v>0</v>
      </c>
      <c r="E58" s="35" t="n">
        <f aca="false">IF($C58=0,0,$D58/$C58)</f>
        <v>0</v>
      </c>
      <c r="F58" s="36" t="str">
        <f aca="false">IF($C58=0,"",$T58)</f>
        <v/>
      </c>
      <c r="G58" s="36" t="str">
        <f aca="false">IF($C58=0,"",MAX(0,MIN($C58,$E$4-($T58-$C58))))</f>
        <v/>
      </c>
      <c r="H58" s="36" t="str">
        <f aca="false">IF($C58=0,"",$C58-$G58)</f>
        <v/>
      </c>
      <c r="J58" s="24" t="str">
        <f aca="false">IF($L58=0,"",DIARIO!$A54)</f>
        <v/>
      </c>
      <c r="K58" s="33" t="str">
        <f aca="false">IF($L58=0,"",DIARIO!$B54)</f>
        <v/>
      </c>
      <c r="L58" s="34" t="n">
        <f aca="false">IF(AND($S58="Sí",DIARIO!$F54=$B$2),N(DIARIO!$G54),0)</f>
        <v>0</v>
      </c>
      <c r="M58" s="36" t="str">
        <f aca="false">IF($L58=0,"",$U58)</f>
        <v/>
      </c>
      <c r="N58" s="37" t="str">
        <f aca="false">IF($L58=0,"",SUMPRODUCT($E$7:$E$106*((((($U58-($T$7:$T$106-$C$7:$C$106))+ABS(($U58-($T$7:$T$106-$C$7:$C$106))))/2)+$C$7:$C$106-ABS(((($U58-($T$7:$T$106-$C$7:$C$106))+ABS(($U58-($T$7:$T$106-$C$7:$C$106))))/2)-$C$7:$C$106))/2))-SUMPRODUCT($E$7:$E$106*(((((($U58-$L58)-($T$7:$T$106-$C$7:$C$106))+ABS((($U58-$L58)-($T$7:$T$106-$C$7:$C$106))))/2)+$C$7:$C$106-ABS((((($U58-$L58)-($T$7:$T$106-$C$7:$C$106))+ABS((($U58-$L58)-($T$7:$T$106-$C$7:$C$106))))/2)-$C$7:$C$106))/2)))</f>
        <v/>
      </c>
      <c r="O58" s="37" t="str">
        <f aca="false">IF($L58=0,"",N(DIARIO!$L54)-IF(DIARIO!$K54="EUR",N(DIARIO!$J54),0))</f>
        <v/>
      </c>
      <c r="P58" s="37" t="str">
        <f aca="false">IF($L58=0,"",$O58-$N58)</f>
        <v/>
      </c>
      <c r="R58" s="38" t="str">
        <f aca="false">IF(DIARIO!$C54="","",IFERROR(INDEX(PARÁMETROS!$D$5:$D$15,MATCH(DIARIO!$C54,PARÁMETROS!$A$5:$A$15,0)),""))</f>
        <v/>
      </c>
      <c r="S58" s="38" t="str">
        <f aca="false">IF(DIARIO!$C54="","",IFERROR(INDEX(PARÁMETROS!$E$5:$E$15,MATCH(DIARIO!$C54,PARÁMETROS!$A$5:$A$15,0)),""))</f>
        <v/>
      </c>
      <c r="T58" s="39" t="n">
        <f aca="false">SUM($C$7:$C58)</f>
        <v>0.55</v>
      </c>
      <c r="U58" s="39" t="n">
        <f aca="false">SUM($L$7:$L58)</f>
        <v>0</v>
      </c>
    </row>
    <row r="59" customFormat="false" ht="15" hidden="false" customHeight="false" outlineLevel="0" collapsed="false">
      <c r="A59" s="24" t="str">
        <f aca="false">IF($C59=0,"",DIARIO!$A55)</f>
        <v/>
      </c>
      <c r="B59" s="33" t="str">
        <f aca="false">IF($C59=0,"",DIARIO!$B55)</f>
        <v/>
      </c>
      <c r="C59" s="34" t="n">
        <f aca="false">IF(AND($R59="Sí",DIARIO!$H55=$B$2),N(DIARIO!$I55),0)</f>
        <v>0</v>
      </c>
      <c r="D59" s="35" t="n">
        <f aca="false">IF($C59=0,0,N(DIARIO!$L55)+IF(DIARIO!$K55="EUR",N(DIARIO!$J55),0))</f>
        <v>0</v>
      </c>
      <c r="E59" s="35" t="n">
        <f aca="false">IF($C59=0,0,$D59/$C59)</f>
        <v>0</v>
      </c>
      <c r="F59" s="36" t="str">
        <f aca="false">IF($C59=0,"",$T59)</f>
        <v/>
      </c>
      <c r="G59" s="36" t="str">
        <f aca="false">IF($C59=0,"",MAX(0,MIN($C59,$E$4-($T59-$C59))))</f>
        <v/>
      </c>
      <c r="H59" s="36" t="str">
        <f aca="false">IF($C59=0,"",$C59-$G59)</f>
        <v/>
      </c>
      <c r="J59" s="24" t="str">
        <f aca="false">IF($L59=0,"",DIARIO!$A55)</f>
        <v/>
      </c>
      <c r="K59" s="33" t="str">
        <f aca="false">IF($L59=0,"",DIARIO!$B55)</f>
        <v/>
      </c>
      <c r="L59" s="34" t="n">
        <f aca="false">IF(AND($S59="Sí",DIARIO!$F55=$B$2),N(DIARIO!$G55),0)</f>
        <v>0</v>
      </c>
      <c r="M59" s="36" t="str">
        <f aca="false">IF($L59=0,"",$U59)</f>
        <v/>
      </c>
      <c r="N59" s="37" t="str">
        <f aca="false">IF($L59=0,"",SUMPRODUCT($E$7:$E$106*((((($U59-($T$7:$T$106-$C$7:$C$106))+ABS(($U59-($T$7:$T$106-$C$7:$C$106))))/2)+$C$7:$C$106-ABS(((($U59-($T$7:$T$106-$C$7:$C$106))+ABS(($U59-($T$7:$T$106-$C$7:$C$106))))/2)-$C$7:$C$106))/2))-SUMPRODUCT($E$7:$E$106*(((((($U59-$L59)-($T$7:$T$106-$C$7:$C$106))+ABS((($U59-$L59)-($T$7:$T$106-$C$7:$C$106))))/2)+$C$7:$C$106-ABS((((($U59-$L59)-($T$7:$T$106-$C$7:$C$106))+ABS((($U59-$L59)-($T$7:$T$106-$C$7:$C$106))))/2)-$C$7:$C$106))/2)))</f>
        <v/>
      </c>
      <c r="O59" s="37" t="str">
        <f aca="false">IF($L59=0,"",N(DIARIO!$L55)-IF(DIARIO!$K55="EUR",N(DIARIO!$J55),0))</f>
        <v/>
      </c>
      <c r="P59" s="37" t="str">
        <f aca="false">IF($L59=0,"",$O59-$N59)</f>
        <v/>
      </c>
      <c r="R59" s="38" t="str">
        <f aca="false">IF(DIARIO!$C55="","",IFERROR(INDEX(PARÁMETROS!$D$5:$D$15,MATCH(DIARIO!$C55,PARÁMETROS!$A$5:$A$15,0)),""))</f>
        <v/>
      </c>
      <c r="S59" s="38" t="str">
        <f aca="false">IF(DIARIO!$C55="","",IFERROR(INDEX(PARÁMETROS!$E$5:$E$15,MATCH(DIARIO!$C55,PARÁMETROS!$A$5:$A$15,0)),""))</f>
        <v/>
      </c>
      <c r="T59" s="39" t="n">
        <f aca="false">SUM($C$7:$C59)</f>
        <v>0.55</v>
      </c>
      <c r="U59" s="39" t="n">
        <f aca="false">SUM($L$7:$L59)</f>
        <v>0</v>
      </c>
    </row>
    <row r="60" customFormat="false" ht="15" hidden="false" customHeight="false" outlineLevel="0" collapsed="false">
      <c r="A60" s="24" t="str">
        <f aca="false">IF($C60=0,"",DIARIO!$A56)</f>
        <v/>
      </c>
      <c r="B60" s="33" t="str">
        <f aca="false">IF($C60=0,"",DIARIO!$B56)</f>
        <v/>
      </c>
      <c r="C60" s="34" t="n">
        <f aca="false">IF(AND($R60="Sí",DIARIO!$H56=$B$2),N(DIARIO!$I56),0)</f>
        <v>0</v>
      </c>
      <c r="D60" s="35" t="n">
        <f aca="false">IF($C60=0,0,N(DIARIO!$L56)+IF(DIARIO!$K56="EUR",N(DIARIO!$J56),0))</f>
        <v>0</v>
      </c>
      <c r="E60" s="35" t="n">
        <f aca="false">IF($C60=0,0,$D60/$C60)</f>
        <v>0</v>
      </c>
      <c r="F60" s="36" t="str">
        <f aca="false">IF($C60=0,"",$T60)</f>
        <v/>
      </c>
      <c r="G60" s="36" t="str">
        <f aca="false">IF($C60=0,"",MAX(0,MIN($C60,$E$4-($T60-$C60))))</f>
        <v/>
      </c>
      <c r="H60" s="36" t="str">
        <f aca="false">IF($C60=0,"",$C60-$G60)</f>
        <v/>
      </c>
      <c r="J60" s="24" t="str">
        <f aca="false">IF($L60=0,"",DIARIO!$A56)</f>
        <v/>
      </c>
      <c r="K60" s="33" t="str">
        <f aca="false">IF($L60=0,"",DIARIO!$B56)</f>
        <v/>
      </c>
      <c r="L60" s="34" t="n">
        <f aca="false">IF(AND($S60="Sí",DIARIO!$F56=$B$2),N(DIARIO!$G56),0)</f>
        <v>0</v>
      </c>
      <c r="M60" s="36" t="str">
        <f aca="false">IF($L60=0,"",$U60)</f>
        <v/>
      </c>
      <c r="N60" s="37" t="str">
        <f aca="false">IF($L60=0,"",SUMPRODUCT($E$7:$E$106*((((($U60-($T$7:$T$106-$C$7:$C$106))+ABS(($U60-($T$7:$T$106-$C$7:$C$106))))/2)+$C$7:$C$106-ABS(((($U60-($T$7:$T$106-$C$7:$C$106))+ABS(($U60-($T$7:$T$106-$C$7:$C$106))))/2)-$C$7:$C$106))/2))-SUMPRODUCT($E$7:$E$106*(((((($U60-$L60)-($T$7:$T$106-$C$7:$C$106))+ABS((($U60-$L60)-($T$7:$T$106-$C$7:$C$106))))/2)+$C$7:$C$106-ABS((((($U60-$L60)-($T$7:$T$106-$C$7:$C$106))+ABS((($U60-$L60)-($T$7:$T$106-$C$7:$C$106))))/2)-$C$7:$C$106))/2)))</f>
        <v/>
      </c>
      <c r="O60" s="37" t="str">
        <f aca="false">IF($L60=0,"",N(DIARIO!$L56)-IF(DIARIO!$K56="EUR",N(DIARIO!$J56),0))</f>
        <v/>
      </c>
      <c r="P60" s="37" t="str">
        <f aca="false">IF($L60=0,"",$O60-$N60)</f>
        <v/>
      </c>
      <c r="R60" s="38" t="str">
        <f aca="false">IF(DIARIO!$C56="","",IFERROR(INDEX(PARÁMETROS!$D$5:$D$15,MATCH(DIARIO!$C56,PARÁMETROS!$A$5:$A$15,0)),""))</f>
        <v/>
      </c>
      <c r="S60" s="38" t="str">
        <f aca="false">IF(DIARIO!$C56="","",IFERROR(INDEX(PARÁMETROS!$E$5:$E$15,MATCH(DIARIO!$C56,PARÁMETROS!$A$5:$A$15,0)),""))</f>
        <v/>
      </c>
      <c r="T60" s="39" t="n">
        <f aca="false">SUM($C$7:$C60)</f>
        <v>0.55</v>
      </c>
      <c r="U60" s="39" t="n">
        <f aca="false">SUM($L$7:$L60)</f>
        <v>0</v>
      </c>
    </row>
    <row r="61" customFormat="false" ht="15" hidden="false" customHeight="false" outlineLevel="0" collapsed="false">
      <c r="A61" s="24" t="str">
        <f aca="false">IF($C61=0,"",DIARIO!$A57)</f>
        <v/>
      </c>
      <c r="B61" s="33" t="str">
        <f aca="false">IF($C61=0,"",DIARIO!$B57)</f>
        <v/>
      </c>
      <c r="C61" s="34" t="n">
        <f aca="false">IF(AND($R61="Sí",DIARIO!$H57=$B$2),N(DIARIO!$I57),0)</f>
        <v>0</v>
      </c>
      <c r="D61" s="35" t="n">
        <f aca="false">IF($C61=0,0,N(DIARIO!$L57)+IF(DIARIO!$K57="EUR",N(DIARIO!$J57),0))</f>
        <v>0</v>
      </c>
      <c r="E61" s="35" t="n">
        <f aca="false">IF($C61=0,0,$D61/$C61)</f>
        <v>0</v>
      </c>
      <c r="F61" s="36" t="str">
        <f aca="false">IF($C61=0,"",$T61)</f>
        <v/>
      </c>
      <c r="G61" s="36" t="str">
        <f aca="false">IF($C61=0,"",MAX(0,MIN($C61,$E$4-($T61-$C61))))</f>
        <v/>
      </c>
      <c r="H61" s="36" t="str">
        <f aca="false">IF($C61=0,"",$C61-$G61)</f>
        <v/>
      </c>
      <c r="J61" s="24" t="str">
        <f aca="false">IF($L61=0,"",DIARIO!$A57)</f>
        <v/>
      </c>
      <c r="K61" s="33" t="str">
        <f aca="false">IF($L61=0,"",DIARIO!$B57)</f>
        <v/>
      </c>
      <c r="L61" s="34" t="n">
        <f aca="false">IF(AND($S61="Sí",DIARIO!$F57=$B$2),N(DIARIO!$G57),0)</f>
        <v>0</v>
      </c>
      <c r="M61" s="36" t="str">
        <f aca="false">IF($L61=0,"",$U61)</f>
        <v/>
      </c>
      <c r="N61" s="37" t="str">
        <f aca="false">IF($L61=0,"",SUMPRODUCT($E$7:$E$106*((((($U61-($T$7:$T$106-$C$7:$C$106))+ABS(($U61-($T$7:$T$106-$C$7:$C$106))))/2)+$C$7:$C$106-ABS(((($U61-($T$7:$T$106-$C$7:$C$106))+ABS(($U61-($T$7:$T$106-$C$7:$C$106))))/2)-$C$7:$C$106))/2))-SUMPRODUCT($E$7:$E$106*(((((($U61-$L61)-($T$7:$T$106-$C$7:$C$106))+ABS((($U61-$L61)-($T$7:$T$106-$C$7:$C$106))))/2)+$C$7:$C$106-ABS((((($U61-$L61)-($T$7:$T$106-$C$7:$C$106))+ABS((($U61-$L61)-($T$7:$T$106-$C$7:$C$106))))/2)-$C$7:$C$106))/2)))</f>
        <v/>
      </c>
      <c r="O61" s="37" t="str">
        <f aca="false">IF($L61=0,"",N(DIARIO!$L57)-IF(DIARIO!$K57="EUR",N(DIARIO!$J57),0))</f>
        <v/>
      </c>
      <c r="P61" s="37" t="str">
        <f aca="false">IF($L61=0,"",$O61-$N61)</f>
        <v/>
      </c>
      <c r="R61" s="38" t="str">
        <f aca="false">IF(DIARIO!$C57="","",IFERROR(INDEX(PARÁMETROS!$D$5:$D$15,MATCH(DIARIO!$C57,PARÁMETROS!$A$5:$A$15,0)),""))</f>
        <v/>
      </c>
      <c r="S61" s="38" t="str">
        <f aca="false">IF(DIARIO!$C57="","",IFERROR(INDEX(PARÁMETROS!$E$5:$E$15,MATCH(DIARIO!$C57,PARÁMETROS!$A$5:$A$15,0)),""))</f>
        <v/>
      </c>
      <c r="T61" s="39" t="n">
        <f aca="false">SUM($C$7:$C61)</f>
        <v>0.55</v>
      </c>
      <c r="U61" s="39" t="n">
        <f aca="false">SUM($L$7:$L61)</f>
        <v>0</v>
      </c>
    </row>
    <row r="62" customFormat="false" ht="15" hidden="false" customHeight="false" outlineLevel="0" collapsed="false">
      <c r="A62" s="24" t="str">
        <f aca="false">IF($C62=0,"",DIARIO!$A58)</f>
        <v/>
      </c>
      <c r="B62" s="33" t="str">
        <f aca="false">IF($C62=0,"",DIARIO!$B58)</f>
        <v/>
      </c>
      <c r="C62" s="34" t="n">
        <f aca="false">IF(AND($R62="Sí",DIARIO!$H58=$B$2),N(DIARIO!$I58),0)</f>
        <v>0</v>
      </c>
      <c r="D62" s="35" t="n">
        <f aca="false">IF($C62=0,0,N(DIARIO!$L58)+IF(DIARIO!$K58="EUR",N(DIARIO!$J58),0))</f>
        <v>0</v>
      </c>
      <c r="E62" s="35" t="n">
        <f aca="false">IF($C62=0,0,$D62/$C62)</f>
        <v>0</v>
      </c>
      <c r="F62" s="36" t="str">
        <f aca="false">IF($C62=0,"",$T62)</f>
        <v/>
      </c>
      <c r="G62" s="36" t="str">
        <f aca="false">IF($C62=0,"",MAX(0,MIN($C62,$E$4-($T62-$C62))))</f>
        <v/>
      </c>
      <c r="H62" s="36" t="str">
        <f aca="false">IF($C62=0,"",$C62-$G62)</f>
        <v/>
      </c>
      <c r="J62" s="24" t="str">
        <f aca="false">IF($L62=0,"",DIARIO!$A58)</f>
        <v/>
      </c>
      <c r="K62" s="33" t="str">
        <f aca="false">IF($L62=0,"",DIARIO!$B58)</f>
        <v/>
      </c>
      <c r="L62" s="34" t="n">
        <f aca="false">IF(AND($S62="Sí",DIARIO!$F58=$B$2),N(DIARIO!$G58),0)</f>
        <v>0</v>
      </c>
      <c r="M62" s="36" t="str">
        <f aca="false">IF($L62=0,"",$U62)</f>
        <v/>
      </c>
      <c r="N62" s="37" t="str">
        <f aca="false">IF($L62=0,"",SUMPRODUCT($E$7:$E$106*((((($U62-($T$7:$T$106-$C$7:$C$106))+ABS(($U62-($T$7:$T$106-$C$7:$C$106))))/2)+$C$7:$C$106-ABS(((($U62-($T$7:$T$106-$C$7:$C$106))+ABS(($U62-($T$7:$T$106-$C$7:$C$106))))/2)-$C$7:$C$106))/2))-SUMPRODUCT($E$7:$E$106*(((((($U62-$L62)-($T$7:$T$106-$C$7:$C$106))+ABS((($U62-$L62)-($T$7:$T$106-$C$7:$C$106))))/2)+$C$7:$C$106-ABS((((($U62-$L62)-($T$7:$T$106-$C$7:$C$106))+ABS((($U62-$L62)-($T$7:$T$106-$C$7:$C$106))))/2)-$C$7:$C$106))/2)))</f>
        <v/>
      </c>
      <c r="O62" s="37" t="str">
        <f aca="false">IF($L62=0,"",N(DIARIO!$L58)-IF(DIARIO!$K58="EUR",N(DIARIO!$J58),0))</f>
        <v/>
      </c>
      <c r="P62" s="37" t="str">
        <f aca="false">IF($L62=0,"",$O62-$N62)</f>
        <v/>
      </c>
      <c r="R62" s="38" t="str">
        <f aca="false">IF(DIARIO!$C58="","",IFERROR(INDEX(PARÁMETROS!$D$5:$D$15,MATCH(DIARIO!$C58,PARÁMETROS!$A$5:$A$15,0)),""))</f>
        <v/>
      </c>
      <c r="S62" s="38" t="str">
        <f aca="false">IF(DIARIO!$C58="","",IFERROR(INDEX(PARÁMETROS!$E$5:$E$15,MATCH(DIARIO!$C58,PARÁMETROS!$A$5:$A$15,0)),""))</f>
        <v/>
      </c>
      <c r="T62" s="39" t="n">
        <f aca="false">SUM($C$7:$C62)</f>
        <v>0.55</v>
      </c>
      <c r="U62" s="39" t="n">
        <f aca="false">SUM($L$7:$L62)</f>
        <v>0</v>
      </c>
    </row>
    <row r="63" customFormat="false" ht="15" hidden="false" customHeight="false" outlineLevel="0" collapsed="false">
      <c r="A63" s="24" t="str">
        <f aca="false">IF($C63=0,"",DIARIO!$A59)</f>
        <v/>
      </c>
      <c r="B63" s="33" t="str">
        <f aca="false">IF($C63=0,"",DIARIO!$B59)</f>
        <v/>
      </c>
      <c r="C63" s="34" t="n">
        <f aca="false">IF(AND($R63="Sí",DIARIO!$H59=$B$2),N(DIARIO!$I59),0)</f>
        <v>0</v>
      </c>
      <c r="D63" s="35" t="n">
        <f aca="false">IF($C63=0,0,N(DIARIO!$L59)+IF(DIARIO!$K59="EUR",N(DIARIO!$J59),0))</f>
        <v>0</v>
      </c>
      <c r="E63" s="35" t="n">
        <f aca="false">IF($C63=0,0,$D63/$C63)</f>
        <v>0</v>
      </c>
      <c r="F63" s="36" t="str">
        <f aca="false">IF($C63=0,"",$T63)</f>
        <v/>
      </c>
      <c r="G63" s="36" t="str">
        <f aca="false">IF($C63=0,"",MAX(0,MIN($C63,$E$4-($T63-$C63))))</f>
        <v/>
      </c>
      <c r="H63" s="36" t="str">
        <f aca="false">IF($C63=0,"",$C63-$G63)</f>
        <v/>
      </c>
      <c r="J63" s="24" t="str">
        <f aca="false">IF($L63=0,"",DIARIO!$A59)</f>
        <v/>
      </c>
      <c r="K63" s="33" t="str">
        <f aca="false">IF($L63=0,"",DIARIO!$B59)</f>
        <v/>
      </c>
      <c r="L63" s="34" t="n">
        <f aca="false">IF(AND($S63="Sí",DIARIO!$F59=$B$2),N(DIARIO!$G59),0)</f>
        <v>0</v>
      </c>
      <c r="M63" s="36" t="str">
        <f aca="false">IF($L63=0,"",$U63)</f>
        <v/>
      </c>
      <c r="N63" s="37" t="str">
        <f aca="false">IF($L63=0,"",SUMPRODUCT($E$7:$E$106*((((($U63-($T$7:$T$106-$C$7:$C$106))+ABS(($U63-($T$7:$T$106-$C$7:$C$106))))/2)+$C$7:$C$106-ABS(((($U63-($T$7:$T$106-$C$7:$C$106))+ABS(($U63-($T$7:$T$106-$C$7:$C$106))))/2)-$C$7:$C$106))/2))-SUMPRODUCT($E$7:$E$106*(((((($U63-$L63)-($T$7:$T$106-$C$7:$C$106))+ABS((($U63-$L63)-($T$7:$T$106-$C$7:$C$106))))/2)+$C$7:$C$106-ABS((((($U63-$L63)-($T$7:$T$106-$C$7:$C$106))+ABS((($U63-$L63)-($T$7:$T$106-$C$7:$C$106))))/2)-$C$7:$C$106))/2)))</f>
        <v/>
      </c>
      <c r="O63" s="37" t="str">
        <f aca="false">IF($L63=0,"",N(DIARIO!$L59)-IF(DIARIO!$K59="EUR",N(DIARIO!$J59),0))</f>
        <v/>
      </c>
      <c r="P63" s="37" t="str">
        <f aca="false">IF($L63=0,"",$O63-$N63)</f>
        <v/>
      </c>
      <c r="R63" s="38" t="str">
        <f aca="false">IF(DIARIO!$C59="","",IFERROR(INDEX(PARÁMETROS!$D$5:$D$15,MATCH(DIARIO!$C59,PARÁMETROS!$A$5:$A$15,0)),""))</f>
        <v/>
      </c>
      <c r="S63" s="38" t="str">
        <f aca="false">IF(DIARIO!$C59="","",IFERROR(INDEX(PARÁMETROS!$E$5:$E$15,MATCH(DIARIO!$C59,PARÁMETROS!$A$5:$A$15,0)),""))</f>
        <v/>
      </c>
      <c r="T63" s="39" t="n">
        <f aca="false">SUM($C$7:$C63)</f>
        <v>0.55</v>
      </c>
      <c r="U63" s="39" t="n">
        <f aca="false">SUM($L$7:$L63)</f>
        <v>0</v>
      </c>
    </row>
    <row r="64" customFormat="false" ht="15" hidden="false" customHeight="false" outlineLevel="0" collapsed="false">
      <c r="A64" s="24" t="str">
        <f aca="false">IF($C64=0,"",DIARIO!$A60)</f>
        <v/>
      </c>
      <c r="B64" s="33" t="str">
        <f aca="false">IF($C64=0,"",DIARIO!$B60)</f>
        <v/>
      </c>
      <c r="C64" s="34" t="n">
        <f aca="false">IF(AND($R64="Sí",DIARIO!$H60=$B$2),N(DIARIO!$I60),0)</f>
        <v>0</v>
      </c>
      <c r="D64" s="35" t="n">
        <f aca="false">IF($C64=0,0,N(DIARIO!$L60)+IF(DIARIO!$K60="EUR",N(DIARIO!$J60),0))</f>
        <v>0</v>
      </c>
      <c r="E64" s="35" t="n">
        <f aca="false">IF($C64=0,0,$D64/$C64)</f>
        <v>0</v>
      </c>
      <c r="F64" s="36" t="str">
        <f aca="false">IF($C64=0,"",$T64)</f>
        <v/>
      </c>
      <c r="G64" s="36" t="str">
        <f aca="false">IF($C64=0,"",MAX(0,MIN($C64,$E$4-($T64-$C64))))</f>
        <v/>
      </c>
      <c r="H64" s="36" t="str">
        <f aca="false">IF($C64=0,"",$C64-$G64)</f>
        <v/>
      </c>
      <c r="J64" s="24" t="str">
        <f aca="false">IF($L64=0,"",DIARIO!$A60)</f>
        <v/>
      </c>
      <c r="K64" s="33" t="str">
        <f aca="false">IF($L64=0,"",DIARIO!$B60)</f>
        <v/>
      </c>
      <c r="L64" s="34" t="n">
        <f aca="false">IF(AND($S64="Sí",DIARIO!$F60=$B$2),N(DIARIO!$G60),0)</f>
        <v>0</v>
      </c>
      <c r="M64" s="36" t="str">
        <f aca="false">IF($L64=0,"",$U64)</f>
        <v/>
      </c>
      <c r="N64" s="37" t="str">
        <f aca="false">IF($L64=0,"",SUMPRODUCT($E$7:$E$106*((((($U64-($T$7:$T$106-$C$7:$C$106))+ABS(($U64-($T$7:$T$106-$C$7:$C$106))))/2)+$C$7:$C$106-ABS(((($U64-($T$7:$T$106-$C$7:$C$106))+ABS(($U64-($T$7:$T$106-$C$7:$C$106))))/2)-$C$7:$C$106))/2))-SUMPRODUCT($E$7:$E$106*(((((($U64-$L64)-($T$7:$T$106-$C$7:$C$106))+ABS((($U64-$L64)-($T$7:$T$106-$C$7:$C$106))))/2)+$C$7:$C$106-ABS((((($U64-$L64)-($T$7:$T$106-$C$7:$C$106))+ABS((($U64-$L64)-($T$7:$T$106-$C$7:$C$106))))/2)-$C$7:$C$106))/2)))</f>
        <v/>
      </c>
      <c r="O64" s="37" t="str">
        <f aca="false">IF($L64=0,"",N(DIARIO!$L60)-IF(DIARIO!$K60="EUR",N(DIARIO!$J60),0))</f>
        <v/>
      </c>
      <c r="P64" s="37" t="str">
        <f aca="false">IF($L64=0,"",$O64-$N64)</f>
        <v/>
      </c>
      <c r="R64" s="38" t="str">
        <f aca="false">IF(DIARIO!$C60="","",IFERROR(INDEX(PARÁMETROS!$D$5:$D$15,MATCH(DIARIO!$C60,PARÁMETROS!$A$5:$A$15,0)),""))</f>
        <v/>
      </c>
      <c r="S64" s="38" t="str">
        <f aca="false">IF(DIARIO!$C60="","",IFERROR(INDEX(PARÁMETROS!$E$5:$E$15,MATCH(DIARIO!$C60,PARÁMETROS!$A$5:$A$15,0)),""))</f>
        <v/>
      </c>
      <c r="T64" s="39" t="n">
        <f aca="false">SUM($C$7:$C64)</f>
        <v>0.55</v>
      </c>
      <c r="U64" s="39" t="n">
        <f aca="false">SUM($L$7:$L64)</f>
        <v>0</v>
      </c>
    </row>
    <row r="65" customFormat="false" ht="15" hidden="false" customHeight="false" outlineLevel="0" collapsed="false">
      <c r="A65" s="24" t="str">
        <f aca="false">IF($C65=0,"",DIARIO!$A61)</f>
        <v/>
      </c>
      <c r="B65" s="33" t="str">
        <f aca="false">IF($C65=0,"",DIARIO!$B61)</f>
        <v/>
      </c>
      <c r="C65" s="34" t="n">
        <f aca="false">IF(AND($R65="Sí",DIARIO!$H61=$B$2),N(DIARIO!$I61),0)</f>
        <v>0</v>
      </c>
      <c r="D65" s="35" t="n">
        <f aca="false">IF($C65=0,0,N(DIARIO!$L61)+IF(DIARIO!$K61="EUR",N(DIARIO!$J61),0))</f>
        <v>0</v>
      </c>
      <c r="E65" s="35" t="n">
        <f aca="false">IF($C65=0,0,$D65/$C65)</f>
        <v>0</v>
      </c>
      <c r="F65" s="36" t="str">
        <f aca="false">IF($C65=0,"",$T65)</f>
        <v/>
      </c>
      <c r="G65" s="36" t="str">
        <f aca="false">IF($C65=0,"",MAX(0,MIN($C65,$E$4-($T65-$C65))))</f>
        <v/>
      </c>
      <c r="H65" s="36" t="str">
        <f aca="false">IF($C65=0,"",$C65-$G65)</f>
        <v/>
      </c>
      <c r="J65" s="24" t="str">
        <f aca="false">IF($L65=0,"",DIARIO!$A61)</f>
        <v/>
      </c>
      <c r="K65" s="33" t="str">
        <f aca="false">IF($L65=0,"",DIARIO!$B61)</f>
        <v/>
      </c>
      <c r="L65" s="34" t="n">
        <f aca="false">IF(AND($S65="Sí",DIARIO!$F61=$B$2),N(DIARIO!$G61),0)</f>
        <v>0</v>
      </c>
      <c r="M65" s="36" t="str">
        <f aca="false">IF($L65=0,"",$U65)</f>
        <v/>
      </c>
      <c r="N65" s="37" t="str">
        <f aca="false">IF($L65=0,"",SUMPRODUCT($E$7:$E$106*((((($U65-($T$7:$T$106-$C$7:$C$106))+ABS(($U65-($T$7:$T$106-$C$7:$C$106))))/2)+$C$7:$C$106-ABS(((($U65-($T$7:$T$106-$C$7:$C$106))+ABS(($U65-($T$7:$T$106-$C$7:$C$106))))/2)-$C$7:$C$106))/2))-SUMPRODUCT($E$7:$E$106*(((((($U65-$L65)-($T$7:$T$106-$C$7:$C$106))+ABS((($U65-$L65)-($T$7:$T$106-$C$7:$C$106))))/2)+$C$7:$C$106-ABS((((($U65-$L65)-($T$7:$T$106-$C$7:$C$106))+ABS((($U65-$L65)-($T$7:$T$106-$C$7:$C$106))))/2)-$C$7:$C$106))/2)))</f>
        <v/>
      </c>
      <c r="O65" s="37" t="str">
        <f aca="false">IF($L65=0,"",N(DIARIO!$L61)-IF(DIARIO!$K61="EUR",N(DIARIO!$J61),0))</f>
        <v/>
      </c>
      <c r="P65" s="37" t="str">
        <f aca="false">IF($L65=0,"",$O65-$N65)</f>
        <v/>
      </c>
      <c r="R65" s="38" t="str">
        <f aca="false">IF(DIARIO!$C61="","",IFERROR(INDEX(PARÁMETROS!$D$5:$D$15,MATCH(DIARIO!$C61,PARÁMETROS!$A$5:$A$15,0)),""))</f>
        <v/>
      </c>
      <c r="S65" s="38" t="str">
        <f aca="false">IF(DIARIO!$C61="","",IFERROR(INDEX(PARÁMETROS!$E$5:$E$15,MATCH(DIARIO!$C61,PARÁMETROS!$A$5:$A$15,0)),""))</f>
        <v/>
      </c>
      <c r="T65" s="39" t="n">
        <f aca="false">SUM($C$7:$C65)</f>
        <v>0.55</v>
      </c>
      <c r="U65" s="39" t="n">
        <f aca="false">SUM($L$7:$L65)</f>
        <v>0</v>
      </c>
    </row>
    <row r="66" customFormat="false" ht="15" hidden="false" customHeight="false" outlineLevel="0" collapsed="false">
      <c r="A66" s="24" t="str">
        <f aca="false">IF($C66=0,"",DIARIO!$A62)</f>
        <v/>
      </c>
      <c r="B66" s="33" t="str">
        <f aca="false">IF($C66=0,"",DIARIO!$B62)</f>
        <v/>
      </c>
      <c r="C66" s="34" t="n">
        <f aca="false">IF(AND($R66="Sí",DIARIO!$H62=$B$2),N(DIARIO!$I62),0)</f>
        <v>0</v>
      </c>
      <c r="D66" s="35" t="n">
        <f aca="false">IF($C66=0,0,N(DIARIO!$L62)+IF(DIARIO!$K62="EUR",N(DIARIO!$J62),0))</f>
        <v>0</v>
      </c>
      <c r="E66" s="35" t="n">
        <f aca="false">IF($C66=0,0,$D66/$C66)</f>
        <v>0</v>
      </c>
      <c r="F66" s="36" t="str">
        <f aca="false">IF($C66=0,"",$T66)</f>
        <v/>
      </c>
      <c r="G66" s="36" t="str">
        <f aca="false">IF($C66=0,"",MAX(0,MIN($C66,$E$4-($T66-$C66))))</f>
        <v/>
      </c>
      <c r="H66" s="36" t="str">
        <f aca="false">IF($C66=0,"",$C66-$G66)</f>
        <v/>
      </c>
      <c r="J66" s="24" t="str">
        <f aca="false">IF($L66=0,"",DIARIO!$A62)</f>
        <v/>
      </c>
      <c r="K66" s="33" t="str">
        <f aca="false">IF($L66=0,"",DIARIO!$B62)</f>
        <v/>
      </c>
      <c r="L66" s="34" t="n">
        <f aca="false">IF(AND($S66="Sí",DIARIO!$F62=$B$2),N(DIARIO!$G62),0)</f>
        <v>0</v>
      </c>
      <c r="M66" s="36" t="str">
        <f aca="false">IF($L66=0,"",$U66)</f>
        <v/>
      </c>
      <c r="N66" s="37" t="str">
        <f aca="false">IF($L66=0,"",SUMPRODUCT($E$7:$E$106*((((($U66-($T$7:$T$106-$C$7:$C$106))+ABS(($U66-($T$7:$T$106-$C$7:$C$106))))/2)+$C$7:$C$106-ABS(((($U66-($T$7:$T$106-$C$7:$C$106))+ABS(($U66-($T$7:$T$106-$C$7:$C$106))))/2)-$C$7:$C$106))/2))-SUMPRODUCT($E$7:$E$106*(((((($U66-$L66)-($T$7:$T$106-$C$7:$C$106))+ABS((($U66-$L66)-($T$7:$T$106-$C$7:$C$106))))/2)+$C$7:$C$106-ABS((((($U66-$L66)-($T$7:$T$106-$C$7:$C$106))+ABS((($U66-$L66)-($T$7:$T$106-$C$7:$C$106))))/2)-$C$7:$C$106))/2)))</f>
        <v/>
      </c>
      <c r="O66" s="37" t="str">
        <f aca="false">IF($L66=0,"",N(DIARIO!$L62)-IF(DIARIO!$K62="EUR",N(DIARIO!$J62),0))</f>
        <v/>
      </c>
      <c r="P66" s="37" t="str">
        <f aca="false">IF($L66=0,"",$O66-$N66)</f>
        <v/>
      </c>
      <c r="R66" s="38" t="str">
        <f aca="false">IF(DIARIO!$C62="","",IFERROR(INDEX(PARÁMETROS!$D$5:$D$15,MATCH(DIARIO!$C62,PARÁMETROS!$A$5:$A$15,0)),""))</f>
        <v/>
      </c>
      <c r="S66" s="38" t="str">
        <f aca="false">IF(DIARIO!$C62="","",IFERROR(INDEX(PARÁMETROS!$E$5:$E$15,MATCH(DIARIO!$C62,PARÁMETROS!$A$5:$A$15,0)),""))</f>
        <v/>
      </c>
      <c r="T66" s="39" t="n">
        <f aca="false">SUM($C$7:$C66)</f>
        <v>0.55</v>
      </c>
      <c r="U66" s="39" t="n">
        <f aca="false">SUM($L$7:$L66)</f>
        <v>0</v>
      </c>
    </row>
    <row r="67" customFormat="false" ht="15" hidden="false" customHeight="false" outlineLevel="0" collapsed="false">
      <c r="A67" s="24" t="str">
        <f aca="false">IF($C67=0,"",DIARIO!$A63)</f>
        <v/>
      </c>
      <c r="B67" s="33" t="str">
        <f aca="false">IF($C67=0,"",DIARIO!$B63)</f>
        <v/>
      </c>
      <c r="C67" s="34" t="n">
        <f aca="false">IF(AND($R67="Sí",DIARIO!$H63=$B$2),N(DIARIO!$I63),0)</f>
        <v>0</v>
      </c>
      <c r="D67" s="35" t="n">
        <f aca="false">IF($C67=0,0,N(DIARIO!$L63)+IF(DIARIO!$K63="EUR",N(DIARIO!$J63),0))</f>
        <v>0</v>
      </c>
      <c r="E67" s="35" t="n">
        <f aca="false">IF($C67=0,0,$D67/$C67)</f>
        <v>0</v>
      </c>
      <c r="F67" s="36" t="str">
        <f aca="false">IF($C67=0,"",$T67)</f>
        <v/>
      </c>
      <c r="G67" s="36" t="str">
        <f aca="false">IF($C67=0,"",MAX(0,MIN($C67,$E$4-($T67-$C67))))</f>
        <v/>
      </c>
      <c r="H67" s="36" t="str">
        <f aca="false">IF($C67=0,"",$C67-$G67)</f>
        <v/>
      </c>
      <c r="J67" s="24" t="str">
        <f aca="false">IF($L67=0,"",DIARIO!$A63)</f>
        <v/>
      </c>
      <c r="K67" s="33" t="str">
        <f aca="false">IF($L67=0,"",DIARIO!$B63)</f>
        <v/>
      </c>
      <c r="L67" s="34" t="n">
        <f aca="false">IF(AND($S67="Sí",DIARIO!$F63=$B$2),N(DIARIO!$G63),0)</f>
        <v>0</v>
      </c>
      <c r="M67" s="36" t="str">
        <f aca="false">IF($L67=0,"",$U67)</f>
        <v/>
      </c>
      <c r="N67" s="37" t="str">
        <f aca="false">IF($L67=0,"",SUMPRODUCT($E$7:$E$106*((((($U67-($T$7:$T$106-$C$7:$C$106))+ABS(($U67-($T$7:$T$106-$C$7:$C$106))))/2)+$C$7:$C$106-ABS(((($U67-($T$7:$T$106-$C$7:$C$106))+ABS(($U67-($T$7:$T$106-$C$7:$C$106))))/2)-$C$7:$C$106))/2))-SUMPRODUCT($E$7:$E$106*(((((($U67-$L67)-($T$7:$T$106-$C$7:$C$106))+ABS((($U67-$L67)-($T$7:$T$106-$C$7:$C$106))))/2)+$C$7:$C$106-ABS((((($U67-$L67)-($T$7:$T$106-$C$7:$C$106))+ABS((($U67-$L67)-($T$7:$T$106-$C$7:$C$106))))/2)-$C$7:$C$106))/2)))</f>
        <v/>
      </c>
      <c r="O67" s="37" t="str">
        <f aca="false">IF($L67=0,"",N(DIARIO!$L63)-IF(DIARIO!$K63="EUR",N(DIARIO!$J63),0))</f>
        <v/>
      </c>
      <c r="P67" s="37" t="str">
        <f aca="false">IF($L67=0,"",$O67-$N67)</f>
        <v/>
      </c>
      <c r="R67" s="38" t="str">
        <f aca="false">IF(DIARIO!$C63="","",IFERROR(INDEX(PARÁMETROS!$D$5:$D$15,MATCH(DIARIO!$C63,PARÁMETROS!$A$5:$A$15,0)),""))</f>
        <v/>
      </c>
      <c r="S67" s="38" t="str">
        <f aca="false">IF(DIARIO!$C63="","",IFERROR(INDEX(PARÁMETROS!$E$5:$E$15,MATCH(DIARIO!$C63,PARÁMETROS!$A$5:$A$15,0)),""))</f>
        <v/>
      </c>
      <c r="T67" s="39" t="n">
        <f aca="false">SUM($C$7:$C67)</f>
        <v>0.55</v>
      </c>
      <c r="U67" s="39" t="n">
        <f aca="false">SUM($L$7:$L67)</f>
        <v>0</v>
      </c>
    </row>
    <row r="68" customFormat="false" ht="15" hidden="false" customHeight="false" outlineLevel="0" collapsed="false">
      <c r="A68" s="24" t="str">
        <f aca="false">IF($C68=0,"",DIARIO!$A64)</f>
        <v/>
      </c>
      <c r="B68" s="33" t="str">
        <f aca="false">IF($C68=0,"",DIARIO!$B64)</f>
        <v/>
      </c>
      <c r="C68" s="34" t="n">
        <f aca="false">IF(AND($R68="Sí",DIARIO!$H64=$B$2),N(DIARIO!$I64),0)</f>
        <v>0</v>
      </c>
      <c r="D68" s="35" t="n">
        <f aca="false">IF($C68=0,0,N(DIARIO!$L64)+IF(DIARIO!$K64="EUR",N(DIARIO!$J64),0))</f>
        <v>0</v>
      </c>
      <c r="E68" s="35" t="n">
        <f aca="false">IF($C68=0,0,$D68/$C68)</f>
        <v>0</v>
      </c>
      <c r="F68" s="36" t="str">
        <f aca="false">IF($C68=0,"",$T68)</f>
        <v/>
      </c>
      <c r="G68" s="36" t="str">
        <f aca="false">IF($C68=0,"",MAX(0,MIN($C68,$E$4-($T68-$C68))))</f>
        <v/>
      </c>
      <c r="H68" s="36" t="str">
        <f aca="false">IF($C68=0,"",$C68-$G68)</f>
        <v/>
      </c>
      <c r="J68" s="24" t="str">
        <f aca="false">IF($L68=0,"",DIARIO!$A64)</f>
        <v/>
      </c>
      <c r="K68" s="33" t="str">
        <f aca="false">IF($L68=0,"",DIARIO!$B64)</f>
        <v/>
      </c>
      <c r="L68" s="34" t="n">
        <f aca="false">IF(AND($S68="Sí",DIARIO!$F64=$B$2),N(DIARIO!$G64),0)</f>
        <v>0</v>
      </c>
      <c r="M68" s="36" t="str">
        <f aca="false">IF($L68=0,"",$U68)</f>
        <v/>
      </c>
      <c r="N68" s="37" t="str">
        <f aca="false">IF($L68=0,"",SUMPRODUCT($E$7:$E$106*((((($U68-($T$7:$T$106-$C$7:$C$106))+ABS(($U68-($T$7:$T$106-$C$7:$C$106))))/2)+$C$7:$C$106-ABS(((($U68-($T$7:$T$106-$C$7:$C$106))+ABS(($U68-($T$7:$T$106-$C$7:$C$106))))/2)-$C$7:$C$106))/2))-SUMPRODUCT($E$7:$E$106*(((((($U68-$L68)-($T$7:$T$106-$C$7:$C$106))+ABS((($U68-$L68)-($T$7:$T$106-$C$7:$C$106))))/2)+$C$7:$C$106-ABS((((($U68-$L68)-($T$7:$T$106-$C$7:$C$106))+ABS((($U68-$L68)-($T$7:$T$106-$C$7:$C$106))))/2)-$C$7:$C$106))/2)))</f>
        <v/>
      </c>
      <c r="O68" s="37" t="str">
        <f aca="false">IF($L68=0,"",N(DIARIO!$L64)-IF(DIARIO!$K64="EUR",N(DIARIO!$J64),0))</f>
        <v/>
      </c>
      <c r="P68" s="37" t="str">
        <f aca="false">IF($L68=0,"",$O68-$N68)</f>
        <v/>
      </c>
      <c r="R68" s="38" t="str">
        <f aca="false">IF(DIARIO!$C64="","",IFERROR(INDEX(PARÁMETROS!$D$5:$D$15,MATCH(DIARIO!$C64,PARÁMETROS!$A$5:$A$15,0)),""))</f>
        <v/>
      </c>
      <c r="S68" s="38" t="str">
        <f aca="false">IF(DIARIO!$C64="","",IFERROR(INDEX(PARÁMETROS!$E$5:$E$15,MATCH(DIARIO!$C64,PARÁMETROS!$A$5:$A$15,0)),""))</f>
        <v/>
      </c>
      <c r="T68" s="39" t="n">
        <f aca="false">SUM($C$7:$C68)</f>
        <v>0.55</v>
      </c>
      <c r="U68" s="39" t="n">
        <f aca="false">SUM($L$7:$L68)</f>
        <v>0</v>
      </c>
    </row>
    <row r="69" customFormat="false" ht="15" hidden="false" customHeight="false" outlineLevel="0" collapsed="false">
      <c r="A69" s="24" t="str">
        <f aca="false">IF($C69=0,"",DIARIO!$A65)</f>
        <v/>
      </c>
      <c r="B69" s="33" t="str">
        <f aca="false">IF($C69=0,"",DIARIO!$B65)</f>
        <v/>
      </c>
      <c r="C69" s="34" t="n">
        <f aca="false">IF(AND($R69="Sí",DIARIO!$H65=$B$2),N(DIARIO!$I65),0)</f>
        <v>0</v>
      </c>
      <c r="D69" s="35" t="n">
        <f aca="false">IF($C69=0,0,N(DIARIO!$L65)+IF(DIARIO!$K65="EUR",N(DIARIO!$J65),0))</f>
        <v>0</v>
      </c>
      <c r="E69" s="35" t="n">
        <f aca="false">IF($C69=0,0,$D69/$C69)</f>
        <v>0</v>
      </c>
      <c r="F69" s="36" t="str">
        <f aca="false">IF($C69=0,"",$T69)</f>
        <v/>
      </c>
      <c r="G69" s="36" t="str">
        <f aca="false">IF($C69=0,"",MAX(0,MIN($C69,$E$4-($T69-$C69))))</f>
        <v/>
      </c>
      <c r="H69" s="36" t="str">
        <f aca="false">IF($C69=0,"",$C69-$G69)</f>
        <v/>
      </c>
      <c r="J69" s="24" t="str">
        <f aca="false">IF($L69=0,"",DIARIO!$A65)</f>
        <v/>
      </c>
      <c r="K69" s="33" t="str">
        <f aca="false">IF($L69=0,"",DIARIO!$B65)</f>
        <v/>
      </c>
      <c r="L69" s="34" t="n">
        <f aca="false">IF(AND($S69="Sí",DIARIO!$F65=$B$2),N(DIARIO!$G65),0)</f>
        <v>0</v>
      </c>
      <c r="M69" s="36" t="str">
        <f aca="false">IF($L69=0,"",$U69)</f>
        <v/>
      </c>
      <c r="N69" s="37" t="str">
        <f aca="false">IF($L69=0,"",SUMPRODUCT($E$7:$E$106*((((($U69-($T$7:$T$106-$C$7:$C$106))+ABS(($U69-($T$7:$T$106-$C$7:$C$106))))/2)+$C$7:$C$106-ABS(((($U69-($T$7:$T$106-$C$7:$C$106))+ABS(($U69-($T$7:$T$106-$C$7:$C$106))))/2)-$C$7:$C$106))/2))-SUMPRODUCT($E$7:$E$106*(((((($U69-$L69)-($T$7:$T$106-$C$7:$C$106))+ABS((($U69-$L69)-($T$7:$T$106-$C$7:$C$106))))/2)+$C$7:$C$106-ABS((((($U69-$L69)-($T$7:$T$106-$C$7:$C$106))+ABS((($U69-$L69)-($T$7:$T$106-$C$7:$C$106))))/2)-$C$7:$C$106))/2)))</f>
        <v/>
      </c>
      <c r="O69" s="37" t="str">
        <f aca="false">IF($L69=0,"",N(DIARIO!$L65)-IF(DIARIO!$K65="EUR",N(DIARIO!$J65),0))</f>
        <v/>
      </c>
      <c r="P69" s="37" t="str">
        <f aca="false">IF($L69=0,"",$O69-$N69)</f>
        <v/>
      </c>
      <c r="R69" s="38" t="str">
        <f aca="false">IF(DIARIO!$C65="","",IFERROR(INDEX(PARÁMETROS!$D$5:$D$15,MATCH(DIARIO!$C65,PARÁMETROS!$A$5:$A$15,0)),""))</f>
        <v/>
      </c>
      <c r="S69" s="38" t="str">
        <f aca="false">IF(DIARIO!$C65="","",IFERROR(INDEX(PARÁMETROS!$E$5:$E$15,MATCH(DIARIO!$C65,PARÁMETROS!$A$5:$A$15,0)),""))</f>
        <v/>
      </c>
      <c r="T69" s="39" t="n">
        <f aca="false">SUM($C$7:$C69)</f>
        <v>0.55</v>
      </c>
      <c r="U69" s="39" t="n">
        <f aca="false">SUM($L$7:$L69)</f>
        <v>0</v>
      </c>
    </row>
    <row r="70" customFormat="false" ht="15" hidden="false" customHeight="false" outlineLevel="0" collapsed="false">
      <c r="A70" s="24" t="str">
        <f aca="false">IF($C70=0,"",DIARIO!$A66)</f>
        <v/>
      </c>
      <c r="B70" s="33" t="str">
        <f aca="false">IF($C70=0,"",DIARIO!$B66)</f>
        <v/>
      </c>
      <c r="C70" s="34" t="n">
        <f aca="false">IF(AND($R70="Sí",DIARIO!$H66=$B$2),N(DIARIO!$I66),0)</f>
        <v>0</v>
      </c>
      <c r="D70" s="35" t="n">
        <f aca="false">IF($C70=0,0,N(DIARIO!$L66)+IF(DIARIO!$K66="EUR",N(DIARIO!$J66),0))</f>
        <v>0</v>
      </c>
      <c r="E70" s="35" t="n">
        <f aca="false">IF($C70=0,0,$D70/$C70)</f>
        <v>0</v>
      </c>
      <c r="F70" s="36" t="str">
        <f aca="false">IF($C70=0,"",$T70)</f>
        <v/>
      </c>
      <c r="G70" s="36" t="str">
        <f aca="false">IF($C70=0,"",MAX(0,MIN($C70,$E$4-($T70-$C70))))</f>
        <v/>
      </c>
      <c r="H70" s="36" t="str">
        <f aca="false">IF($C70=0,"",$C70-$G70)</f>
        <v/>
      </c>
      <c r="J70" s="24" t="str">
        <f aca="false">IF($L70=0,"",DIARIO!$A66)</f>
        <v/>
      </c>
      <c r="K70" s="33" t="str">
        <f aca="false">IF($L70=0,"",DIARIO!$B66)</f>
        <v/>
      </c>
      <c r="L70" s="34" t="n">
        <f aca="false">IF(AND($S70="Sí",DIARIO!$F66=$B$2),N(DIARIO!$G66),0)</f>
        <v>0</v>
      </c>
      <c r="M70" s="36" t="str">
        <f aca="false">IF($L70=0,"",$U70)</f>
        <v/>
      </c>
      <c r="N70" s="37" t="str">
        <f aca="false">IF($L70=0,"",SUMPRODUCT($E$7:$E$106*((((($U70-($T$7:$T$106-$C$7:$C$106))+ABS(($U70-($T$7:$T$106-$C$7:$C$106))))/2)+$C$7:$C$106-ABS(((($U70-($T$7:$T$106-$C$7:$C$106))+ABS(($U70-($T$7:$T$106-$C$7:$C$106))))/2)-$C$7:$C$106))/2))-SUMPRODUCT($E$7:$E$106*(((((($U70-$L70)-($T$7:$T$106-$C$7:$C$106))+ABS((($U70-$L70)-($T$7:$T$106-$C$7:$C$106))))/2)+$C$7:$C$106-ABS((((($U70-$L70)-($T$7:$T$106-$C$7:$C$106))+ABS((($U70-$L70)-($T$7:$T$106-$C$7:$C$106))))/2)-$C$7:$C$106))/2)))</f>
        <v/>
      </c>
      <c r="O70" s="37" t="str">
        <f aca="false">IF($L70=0,"",N(DIARIO!$L66)-IF(DIARIO!$K66="EUR",N(DIARIO!$J66),0))</f>
        <v/>
      </c>
      <c r="P70" s="37" t="str">
        <f aca="false">IF($L70=0,"",$O70-$N70)</f>
        <v/>
      </c>
      <c r="R70" s="38" t="str">
        <f aca="false">IF(DIARIO!$C66="","",IFERROR(INDEX(PARÁMETROS!$D$5:$D$15,MATCH(DIARIO!$C66,PARÁMETROS!$A$5:$A$15,0)),""))</f>
        <v/>
      </c>
      <c r="S70" s="38" t="str">
        <f aca="false">IF(DIARIO!$C66="","",IFERROR(INDEX(PARÁMETROS!$E$5:$E$15,MATCH(DIARIO!$C66,PARÁMETROS!$A$5:$A$15,0)),""))</f>
        <v/>
      </c>
      <c r="T70" s="39" t="n">
        <f aca="false">SUM($C$7:$C70)</f>
        <v>0.55</v>
      </c>
      <c r="U70" s="39" t="n">
        <f aca="false">SUM($L$7:$L70)</f>
        <v>0</v>
      </c>
    </row>
    <row r="71" customFormat="false" ht="15" hidden="false" customHeight="false" outlineLevel="0" collapsed="false">
      <c r="A71" s="24" t="str">
        <f aca="false">IF($C71=0,"",DIARIO!$A67)</f>
        <v/>
      </c>
      <c r="B71" s="33" t="str">
        <f aca="false">IF($C71=0,"",DIARIO!$B67)</f>
        <v/>
      </c>
      <c r="C71" s="34" t="n">
        <f aca="false">IF(AND($R71="Sí",DIARIO!$H67=$B$2),N(DIARIO!$I67),0)</f>
        <v>0</v>
      </c>
      <c r="D71" s="35" t="n">
        <f aca="false">IF($C71=0,0,N(DIARIO!$L67)+IF(DIARIO!$K67="EUR",N(DIARIO!$J67),0))</f>
        <v>0</v>
      </c>
      <c r="E71" s="35" t="n">
        <f aca="false">IF($C71=0,0,$D71/$C71)</f>
        <v>0</v>
      </c>
      <c r="F71" s="36" t="str">
        <f aca="false">IF($C71=0,"",$T71)</f>
        <v/>
      </c>
      <c r="G71" s="36" t="str">
        <f aca="false">IF($C71=0,"",MAX(0,MIN($C71,$E$4-($T71-$C71))))</f>
        <v/>
      </c>
      <c r="H71" s="36" t="str">
        <f aca="false">IF($C71=0,"",$C71-$G71)</f>
        <v/>
      </c>
      <c r="J71" s="24" t="str">
        <f aca="false">IF($L71=0,"",DIARIO!$A67)</f>
        <v/>
      </c>
      <c r="K71" s="33" t="str">
        <f aca="false">IF($L71=0,"",DIARIO!$B67)</f>
        <v/>
      </c>
      <c r="L71" s="34" t="n">
        <f aca="false">IF(AND($S71="Sí",DIARIO!$F67=$B$2),N(DIARIO!$G67),0)</f>
        <v>0</v>
      </c>
      <c r="M71" s="36" t="str">
        <f aca="false">IF($L71=0,"",$U71)</f>
        <v/>
      </c>
      <c r="N71" s="37" t="str">
        <f aca="false">IF($L71=0,"",SUMPRODUCT($E$7:$E$106*((((($U71-($T$7:$T$106-$C$7:$C$106))+ABS(($U71-($T$7:$T$106-$C$7:$C$106))))/2)+$C$7:$C$106-ABS(((($U71-($T$7:$T$106-$C$7:$C$106))+ABS(($U71-($T$7:$T$106-$C$7:$C$106))))/2)-$C$7:$C$106))/2))-SUMPRODUCT($E$7:$E$106*(((((($U71-$L71)-($T$7:$T$106-$C$7:$C$106))+ABS((($U71-$L71)-($T$7:$T$106-$C$7:$C$106))))/2)+$C$7:$C$106-ABS((((($U71-$L71)-($T$7:$T$106-$C$7:$C$106))+ABS((($U71-$L71)-($T$7:$T$106-$C$7:$C$106))))/2)-$C$7:$C$106))/2)))</f>
        <v/>
      </c>
      <c r="O71" s="37" t="str">
        <f aca="false">IF($L71=0,"",N(DIARIO!$L67)-IF(DIARIO!$K67="EUR",N(DIARIO!$J67),0))</f>
        <v/>
      </c>
      <c r="P71" s="37" t="str">
        <f aca="false">IF($L71=0,"",$O71-$N71)</f>
        <v/>
      </c>
      <c r="R71" s="38" t="str">
        <f aca="false">IF(DIARIO!$C67="","",IFERROR(INDEX(PARÁMETROS!$D$5:$D$15,MATCH(DIARIO!$C67,PARÁMETROS!$A$5:$A$15,0)),""))</f>
        <v/>
      </c>
      <c r="S71" s="38" t="str">
        <f aca="false">IF(DIARIO!$C67="","",IFERROR(INDEX(PARÁMETROS!$E$5:$E$15,MATCH(DIARIO!$C67,PARÁMETROS!$A$5:$A$15,0)),""))</f>
        <v/>
      </c>
      <c r="T71" s="39" t="n">
        <f aca="false">SUM($C$7:$C71)</f>
        <v>0.55</v>
      </c>
      <c r="U71" s="39" t="n">
        <f aca="false">SUM($L$7:$L71)</f>
        <v>0</v>
      </c>
    </row>
    <row r="72" customFormat="false" ht="15" hidden="false" customHeight="false" outlineLevel="0" collapsed="false">
      <c r="A72" s="24" t="str">
        <f aca="false">IF($C72=0,"",DIARIO!$A68)</f>
        <v/>
      </c>
      <c r="B72" s="33" t="str">
        <f aca="false">IF($C72=0,"",DIARIO!$B68)</f>
        <v/>
      </c>
      <c r="C72" s="34" t="n">
        <f aca="false">IF(AND($R72="Sí",DIARIO!$H68=$B$2),N(DIARIO!$I68),0)</f>
        <v>0</v>
      </c>
      <c r="D72" s="35" t="n">
        <f aca="false">IF($C72=0,0,N(DIARIO!$L68)+IF(DIARIO!$K68="EUR",N(DIARIO!$J68),0))</f>
        <v>0</v>
      </c>
      <c r="E72" s="35" t="n">
        <f aca="false">IF($C72=0,0,$D72/$C72)</f>
        <v>0</v>
      </c>
      <c r="F72" s="36" t="str">
        <f aca="false">IF($C72=0,"",$T72)</f>
        <v/>
      </c>
      <c r="G72" s="36" t="str">
        <f aca="false">IF($C72=0,"",MAX(0,MIN($C72,$E$4-($T72-$C72))))</f>
        <v/>
      </c>
      <c r="H72" s="36" t="str">
        <f aca="false">IF($C72=0,"",$C72-$G72)</f>
        <v/>
      </c>
      <c r="J72" s="24" t="str">
        <f aca="false">IF($L72=0,"",DIARIO!$A68)</f>
        <v/>
      </c>
      <c r="K72" s="33" t="str">
        <f aca="false">IF($L72=0,"",DIARIO!$B68)</f>
        <v/>
      </c>
      <c r="L72" s="34" t="n">
        <f aca="false">IF(AND($S72="Sí",DIARIO!$F68=$B$2),N(DIARIO!$G68),0)</f>
        <v>0</v>
      </c>
      <c r="M72" s="36" t="str">
        <f aca="false">IF($L72=0,"",$U72)</f>
        <v/>
      </c>
      <c r="N72" s="37" t="str">
        <f aca="false">IF($L72=0,"",SUMPRODUCT($E$7:$E$106*((((($U72-($T$7:$T$106-$C$7:$C$106))+ABS(($U72-($T$7:$T$106-$C$7:$C$106))))/2)+$C$7:$C$106-ABS(((($U72-($T$7:$T$106-$C$7:$C$106))+ABS(($U72-($T$7:$T$106-$C$7:$C$106))))/2)-$C$7:$C$106))/2))-SUMPRODUCT($E$7:$E$106*(((((($U72-$L72)-($T$7:$T$106-$C$7:$C$106))+ABS((($U72-$L72)-($T$7:$T$106-$C$7:$C$106))))/2)+$C$7:$C$106-ABS((((($U72-$L72)-($T$7:$T$106-$C$7:$C$106))+ABS((($U72-$L72)-($T$7:$T$106-$C$7:$C$106))))/2)-$C$7:$C$106))/2)))</f>
        <v/>
      </c>
      <c r="O72" s="37" t="str">
        <f aca="false">IF($L72=0,"",N(DIARIO!$L68)-IF(DIARIO!$K68="EUR",N(DIARIO!$J68),0))</f>
        <v/>
      </c>
      <c r="P72" s="37" t="str">
        <f aca="false">IF($L72=0,"",$O72-$N72)</f>
        <v/>
      </c>
      <c r="R72" s="38" t="str">
        <f aca="false">IF(DIARIO!$C68="","",IFERROR(INDEX(PARÁMETROS!$D$5:$D$15,MATCH(DIARIO!$C68,PARÁMETROS!$A$5:$A$15,0)),""))</f>
        <v/>
      </c>
      <c r="S72" s="38" t="str">
        <f aca="false">IF(DIARIO!$C68="","",IFERROR(INDEX(PARÁMETROS!$E$5:$E$15,MATCH(DIARIO!$C68,PARÁMETROS!$A$5:$A$15,0)),""))</f>
        <v/>
      </c>
      <c r="T72" s="39" t="n">
        <f aca="false">SUM($C$7:$C72)</f>
        <v>0.55</v>
      </c>
      <c r="U72" s="39" t="n">
        <f aca="false">SUM($L$7:$L72)</f>
        <v>0</v>
      </c>
    </row>
    <row r="73" customFormat="false" ht="15" hidden="false" customHeight="false" outlineLevel="0" collapsed="false">
      <c r="A73" s="24" t="str">
        <f aca="false">IF($C73=0,"",DIARIO!$A69)</f>
        <v/>
      </c>
      <c r="B73" s="33" t="str">
        <f aca="false">IF($C73=0,"",DIARIO!$B69)</f>
        <v/>
      </c>
      <c r="C73" s="34" t="n">
        <f aca="false">IF(AND($R73="Sí",DIARIO!$H69=$B$2),N(DIARIO!$I69),0)</f>
        <v>0</v>
      </c>
      <c r="D73" s="35" t="n">
        <f aca="false">IF($C73=0,0,N(DIARIO!$L69)+IF(DIARIO!$K69="EUR",N(DIARIO!$J69),0))</f>
        <v>0</v>
      </c>
      <c r="E73" s="35" t="n">
        <f aca="false">IF($C73=0,0,$D73/$C73)</f>
        <v>0</v>
      </c>
      <c r="F73" s="36" t="str">
        <f aca="false">IF($C73=0,"",$T73)</f>
        <v/>
      </c>
      <c r="G73" s="36" t="str">
        <f aca="false">IF($C73=0,"",MAX(0,MIN($C73,$E$4-($T73-$C73))))</f>
        <v/>
      </c>
      <c r="H73" s="36" t="str">
        <f aca="false">IF($C73=0,"",$C73-$G73)</f>
        <v/>
      </c>
      <c r="J73" s="24" t="str">
        <f aca="false">IF($L73=0,"",DIARIO!$A69)</f>
        <v/>
      </c>
      <c r="K73" s="33" t="str">
        <f aca="false">IF($L73=0,"",DIARIO!$B69)</f>
        <v/>
      </c>
      <c r="L73" s="34" t="n">
        <f aca="false">IF(AND($S73="Sí",DIARIO!$F69=$B$2),N(DIARIO!$G69),0)</f>
        <v>0</v>
      </c>
      <c r="M73" s="36" t="str">
        <f aca="false">IF($L73=0,"",$U73)</f>
        <v/>
      </c>
      <c r="N73" s="37" t="str">
        <f aca="false">IF($L73=0,"",SUMPRODUCT($E$7:$E$106*((((($U73-($T$7:$T$106-$C$7:$C$106))+ABS(($U73-($T$7:$T$106-$C$7:$C$106))))/2)+$C$7:$C$106-ABS(((($U73-($T$7:$T$106-$C$7:$C$106))+ABS(($U73-($T$7:$T$106-$C$7:$C$106))))/2)-$C$7:$C$106))/2))-SUMPRODUCT($E$7:$E$106*(((((($U73-$L73)-($T$7:$T$106-$C$7:$C$106))+ABS((($U73-$L73)-($T$7:$T$106-$C$7:$C$106))))/2)+$C$7:$C$106-ABS((((($U73-$L73)-($T$7:$T$106-$C$7:$C$106))+ABS((($U73-$L73)-($T$7:$T$106-$C$7:$C$106))))/2)-$C$7:$C$106))/2)))</f>
        <v/>
      </c>
      <c r="O73" s="37" t="str">
        <f aca="false">IF($L73=0,"",N(DIARIO!$L69)-IF(DIARIO!$K69="EUR",N(DIARIO!$J69),0))</f>
        <v/>
      </c>
      <c r="P73" s="37" t="str">
        <f aca="false">IF($L73=0,"",$O73-$N73)</f>
        <v/>
      </c>
      <c r="R73" s="38" t="str">
        <f aca="false">IF(DIARIO!$C69="","",IFERROR(INDEX(PARÁMETROS!$D$5:$D$15,MATCH(DIARIO!$C69,PARÁMETROS!$A$5:$A$15,0)),""))</f>
        <v/>
      </c>
      <c r="S73" s="38" t="str">
        <f aca="false">IF(DIARIO!$C69="","",IFERROR(INDEX(PARÁMETROS!$E$5:$E$15,MATCH(DIARIO!$C69,PARÁMETROS!$A$5:$A$15,0)),""))</f>
        <v/>
      </c>
      <c r="T73" s="39" t="n">
        <f aca="false">SUM($C$7:$C73)</f>
        <v>0.55</v>
      </c>
      <c r="U73" s="39" t="n">
        <f aca="false">SUM($L$7:$L73)</f>
        <v>0</v>
      </c>
    </row>
    <row r="74" customFormat="false" ht="15" hidden="false" customHeight="false" outlineLevel="0" collapsed="false">
      <c r="A74" s="24" t="str">
        <f aca="false">IF($C74=0,"",DIARIO!$A70)</f>
        <v/>
      </c>
      <c r="B74" s="33" t="str">
        <f aca="false">IF($C74=0,"",DIARIO!$B70)</f>
        <v/>
      </c>
      <c r="C74" s="34" t="n">
        <f aca="false">IF(AND($R74="Sí",DIARIO!$H70=$B$2),N(DIARIO!$I70),0)</f>
        <v>0</v>
      </c>
      <c r="D74" s="35" t="n">
        <f aca="false">IF($C74=0,0,N(DIARIO!$L70)+IF(DIARIO!$K70="EUR",N(DIARIO!$J70),0))</f>
        <v>0</v>
      </c>
      <c r="E74" s="35" t="n">
        <f aca="false">IF($C74=0,0,$D74/$C74)</f>
        <v>0</v>
      </c>
      <c r="F74" s="36" t="str">
        <f aca="false">IF($C74=0,"",$T74)</f>
        <v/>
      </c>
      <c r="G74" s="36" t="str">
        <f aca="false">IF($C74=0,"",MAX(0,MIN($C74,$E$4-($T74-$C74))))</f>
        <v/>
      </c>
      <c r="H74" s="36" t="str">
        <f aca="false">IF($C74=0,"",$C74-$G74)</f>
        <v/>
      </c>
      <c r="J74" s="24" t="str">
        <f aca="false">IF($L74=0,"",DIARIO!$A70)</f>
        <v/>
      </c>
      <c r="K74" s="33" t="str">
        <f aca="false">IF($L74=0,"",DIARIO!$B70)</f>
        <v/>
      </c>
      <c r="L74" s="34" t="n">
        <f aca="false">IF(AND($S74="Sí",DIARIO!$F70=$B$2),N(DIARIO!$G70),0)</f>
        <v>0</v>
      </c>
      <c r="M74" s="36" t="str">
        <f aca="false">IF($L74=0,"",$U74)</f>
        <v/>
      </c>
      <c r="N74" s="37" t="str">
        <f aca="false">IF($L74=0,"",SUMPRODUCT($E$7:$E$106*((((($U74-($T$7:$T$106-$C$7:$C$106))+ABS(($U74-($T$7:$T$106-$C$7:$C$106))))/2)+$C$7:$C$106-ABS(((($U74-($T$7:$T$106-$C$7:$C$106))+ABS(($U74-($T$7:$T$106-$C$7:$C$106))))/2)-$C$7:$C$106))/2))-SUMPRODUCT($E$7:$E$106*(((((($U74-$L74)-($T$7:$T$106-$C$7:$C$106))+ABS((($U74-$L74)-($T$7:$T$106-$C$7:$C$106))))/2)+$C$7:$C$106-ABS((((($U74-$L74)-($T$7:$T$106-$C$7:$C$106))+ABS((($U74-$L74)-($T$7:$T$106-$C$7:$C$106))))/2)-$C$7:$C$106))/2)))</f>
        <v/>
      </c>
      <c r="O74" s="37" t="str">
        <f aca="false">IF($L74=0,"",N(DIARIO!$L70)-IF(DIARIO!$K70="EUR",N(DIARIO!$J70),0))</f>
        <v/>
      </c>
      <c r="P74" s="37" t="str">
        <f aca="false">IF($L74=0,"",$O74-$N74)</f>
        <v/>
      </c>
      <c r="R74" s="38" t="str">
        <f aca="false">IF(DIARIO!$C70="","",IFERROR(INDEX(PARÁMETROS!$D$5:$D$15,MATCH(DIARIO!$C70,PARÁMETROS!$A$5:$A$15,0)),""))</f>
        <v/>
      </c>
      <c r="S74" s="38" t="str">
        <f aca="false">IF(DIARIO!$C70="","",IFERROR(INDEX(PARÁMETROS!$E$5:$E$15,MATCH(DIARIO!$C70,PARÁMETROS!$A$5:$A$15,0)),""))</f>
        <v/>
      </c>
      <c r="T74" s="39" t="n">
        <f aca="false">SUM($C$7:$C74)</f>
        <v>0.55</v>
      </c>
      <c r="U74" s="39" t="n">
        <f aca="false">SUM($L$7:$L74)</f>
        <v>0</v>
      </c>
    </row>
    <row r="75" customFormat="false" ht="15" hidden="false" customHeight="false" outlineLevel="0" collapsed="false">
      <c r="A75" s="24" t="str">
        <f aca="false">IF($C75=0,"",DIARIO!$A71)</f>
        <v/>
      </c>
      <c r="B75" s="33" t="str">
        <f aca="false">IF($C75=0,"",DIARIO!$B71)</f>
        <v/>
      </c>
      <c r="C75" s="34" t="n">
        <f aca="false">IF(AND($R75="Sí",DIARIO!$H71=$B$2),N(DIARIO!$I71),0)</f>
        <v>0</v>
      </c>
      <c r="D75" s="35" t="n">
        <f aca="false">IF($C75=0,0,N(DIARIO!$L71)+IF(DIARIO!$K71="EUR",N(DIARIO!$J71),0))</f>
        <v>0</v>
      </c>
      <c r="E75" s="35" t="n">
        <f aca="false">IF($C75=0,0,$D75/$C75)</f>
        <v>0</v>
      </c>
      <c r="F75" s="36" t="str">
        <f aca="false">IF($C75=0,"",$T75)</f>
        <v/>
      </c>
      <c r="G75" s="36" t="str">
        <f aca="false">IF($C75=0,"",MAX(0,MIN($C75,$E$4-($T75-$C75))))</f>
        <v/>
      </c>
      <c r="H75" s="36" t="str">
        <f aca="false">IF($C75=0,"",$C75-$G75)</f>
        <v/>
      </c>
      <c r="J75" s="24" t="str">
        <f aca="false">IF($L75=0,"",DIARIO!$A71)</f>
        <v/>
      </c>
      <c r="K75" s="33" t="str">
        <f aca="false">IF($L75=0,"",DIARIO!$B71)</f>
        <v/>
      </c>
      <c r="L75" s="34" t="n">
        <f aca="false">IF(AND($S75="Sí",DIARIO!$F71=$B$2),N(DIARIO!$G71),0)</f>
        <v>0</v>
      </c>
      <c r="M75" s="36" t="str">
        <f aca="false">IF($L75=0,"",$U75)</f>
        <v/>
      </c>
      <c r="N75" s="37" t="str">
        <f aca="false">IF($L75=0,"",SUMPRODUCT($E$7:$E$106*((((($U75-($T$7:$T$106-$C$7:$C$106))+ABS(($U75-($T$7:$T$106-$C$7:$C$106))))/2)+$C$7:$C$106-ABS(((($U75-($T$7:$T$106-$C$7:$C$106))+ABS(($U75-($T$7:$T$106-$C$7:$C$106))))/2)-$C$7:$C$106))/2))-SUMPRODUCT($E$7:$E$106*(((((($U75-$L75)-($T$7:$T$106-$C$7:$C$106))+ABS((($U75-$L75)-($T$7:$T$106-$C$7:$C$106))))/2)+$C$7:$C$106-ABS((((($U75-$L75)-($T$7:$T$106-$C$7:$C$106))+ABS((($U75-$L75)-($T$7:$T$106-$C$7:$C$106))))/2)-$C$7:$C$106))/2)))</f>
        <v/>
      </c>
      <c r="O75" s="37" t="str">
        <f aca="false">IF($L75=0,"",N(DIARIO!$L71)-IF(DIARIO!$K71="EUR",N(DIARIO!$J71),0))</f>
        <v/>
      </c>
      <c r="P75" s="37" t="str">
        <f aca="false">IF($L75=0,"",$O75-$N75)</f>
        <v/>
      </c>
      <c r="R75" s="38" t="str">
        <f aca="false">IF(DIARIO!$C71="","",IFERROR(INDEX(PARÁMETROS!$D$5:$D$15,MATCH(DIARIO!$C71,PARÁMETROS!$A$5:$A$15,0)),""))</f>
        <v/>
      </c>
      <c r="S75" s="38" t="str">
        <f aca="false">IF(DIARIO!$C71="","",IFERROR(INDEX(PARÁMETROS!$E$5:$E$15,MATCH(DIARIO!$C71,PARÁMETROS!$A$5:$A$15,0)),""))</f>
        <v/>
      </c>
      <c r="T75" s="39" t="n">
        <f aca="false">SUM($C$7:$C75)</f>
        <v>0.55</v>
      </c>
      <c r="U75" s="39" t="n">
        <f aca="false">SUM($L$7:$L75)</f>
        <v>0</v>
      </c>
    </row>
    <row r="76" customFormat="false" ht="15" hidden="false" customHeight="false" outlineLevel="0" collapsed="false">
      <c r="A76" s="24" t="str">
        <f aca="false">IF($C76=0,"",DIARIO!$A72)</f>
        <v/>
      </c>
      <c r="B76" s="33" t="str">
        <f aca="false">IF($C76=0,"",DIARIO!$B72)</f>
        <v/>
      </c>
      <c r="C76" s="34" t="n">
        <f aca="false">IF(AND($R76="Sí",DIARIO!$H72=$B$2),N(DIARIO!$I72),0)</f>
        <v>0</v>
      </c>
      <c r="D76" s="35" t="n">
        <f aca="false">IF($C76=0,0,N(DIARIO!$L72)+IF(DIARIO!$K72="EUR",N(DIARIO!$J72),0))</f>
        <v>0</v>
      </c>
      <c r="E76" s="35" t="n">
        <f aca="false">IF($C76=0,0,$D76/$C76)</f>
        <v>0</v>
      </c>
      <c r="F76" s="36" t="str">
        <f aca="false">IF($C76=0,"",$T76)</f>
        <v/>
      </c>
      <c r="G76" s="36" t="str">
        <f aca="false">IF($C76=0,"",MAX(0,MIN($C76,$E$4-($T76-$C76))))</f>
        <v/>
      </c>
      <c r="H76" s="36" t="str">
        <f aca="false">IF($C76=0,"",$C76-$G76)</f>
        <v/>
      </c>
      <c r="J76" s="24" t="str">
        <f aca="false">IF($L76=0,"",DIARIO!$A72)</f>
        <v/>
      </c>
      <c r="K76" s="33" t="str">
        <f aca="false">IF($L76=0,"",DIARIO!$B72)</f>
        <v/>
      </c>
      <c r="L76" s="34" t="n">
        <f aca="false">IF(AND($S76="Sí",DIARIO!$F72=$B$2),N(DIARIO!$G72),0)</f>
        <v>0</v>
      </c>
      <c r="M76" s="36" t="str">
        <f aca="false">IF($L76=0,"",$U76)</f>
        <v/>
      </c>
      <c r="N76" s="37" t="str">
        <f aca="false">IF($L76=0,"",SUMPRODUCT($E$7:$E$106*((((($U76-($T$7:$T$106-$C$7:$C$106))+ABS(($U76-($T$7:$T$106-$C$7:$C$106))))/2)+$C$7:$C$106-ABS(((($U76-($T$7:$T$106-$C$7:$C$106))+ABS(($U76-($T$7:$T$106-$C$7:$C$106))))/2)-$C$7:$C$106))/2))-SUMPRODUCT($E$7:$E$106*(((((($U76-$L76)-($T$7:$T$106-$C$7:$C$106))+ABS((($U76-$L76)-($T$7:$T$106-$C$7:$C$106))))/2)+$C$7:$C$106-ABS((((($U76-$L76)-($T$7:$T$106-$C$7:$C$106))+ABS((($U76-$L76)-($T$7:$T$106-$C$7:$C$106))))/2)-$C$7:$C$106))/2)))</f>
        <v/>
      </c>
      <c r="O76" s="37" t="str">
        <f aca="false">IF($L76=0,"",N(DIARIO!$L72)-IF(DIARIO!$K72="EUR",N(DIARIO!$J72),0))</f>
        <v/>
      </c>
      <c r="P76" s="37" t="str">
        <f aca="false">IF($L76=0,"",$O76-$N76)</f>
        <v/>
      </c>
      <c r="R76" s="38" t="str">
        <f aca="false">IF(DIARIO!$C72="","",IFERROR(INDEX(PARÁMETROS!$D$5:$D$15,MATCH(DIARIO!$C72,PARÁMETROS!$A$5:$A$15,0)),""))</f>
        <v/>
      </c>
      <c r="S76" s="38" t="str">
        <f aca="false">IF(DIARIO!$C72="","",IFERROR(INDEX(PARÁMETROS!$E$5:$E$15,MATCH(DIARIO!$C72,PARÁMETROS!$A$5:$A$15,0)),""))</f>
        <v/>
      </c>
      <c r="T76" s="39" t="n">
        <f aca="false">SUM($C$7:$C76)</f>
        <v>0.55</v>
      </c>
      <c r="U76" s="39" t="n">
        <f aca="false">SUM($L$7:$L76)</f>
        <v>0</v>
      </c>
    </row>
    <row r="77" customFormat="false" ht="15" hidden="false" customHeight="false" outlineLevel="0" collapsed="false">
      <c r="A77" s="24" t="str">
        <f aca="false">IF($C77=0,"",DIARIO!$A73)</f>
        <v/>
      </c>
      <c r="B77" s="33" t="str">
        <f aca="false">IF($C77=0,"",DIARIO!$B73)</f>
        <v/>
      </c>
      <c r="C77" s="34" t="n">
        <f aca="false">IF(AND($R77="Sí",DIARIO!$H73=$B$2),N(DIARIO!$I73),0)</f>
        <v>0</v>
      </c>
      <c r="D77" s="35" t="n">
        <f aca="false">IF($C77=0,0,N(DIARIO!$L73)+IF(DIARIO!$K73="EUR",N(DIARIO!$J73),0))</f>
        <v>0</v>
      </c>
      <c r="E77" s="35" t="n">
        <f aca="false">IF($C77=0,0,$D77/$C77)</f>
        <v>0</v>
      </c>
      <c r="F77" s="36" t="str">
        <f aca="false">IF($C77=0,"",$T77)</f>
        <v/>
      </c>
      <c r="G77" s="36" t="str">
        <f aca="false">IF($C77=0,"",MAX(0,MIN($C77,$E$4-($T77-$C77))))</f>
        <v/>
      </c>
      <c r="H77" s="36" t="str">
        <f aca="false">IF($C77=0,"",$C77-$G77)</f>
        <v/>
      </c>
      <c r="J77" s="24" t="str">
        <f aca="false">IF($L77=0,"",DIARIO!$A73)</f>
        <v/>
      </c>
      <c r="K77" s="33" t="str">
        <f aca="false">IF($L77=0,"",DIARIO!$B73)</f>
        <v/>
      </c>
      <c r="L77" s="34" t="n">
        <f aca="false">IF(AND($S77="Sí",DIARIO!$F73=$B$2),N(DIARIO!$G73),0)</f>
        <v>0</v>
      </c>
      <c r="M77" s="36" t="str">
        <f aca="false">IF($L77=0,"",$U77)</f>
        <v/>
      </c>
      <c r="N77" s="37" t="str">
        <f aca="false">IF($L77=0,"",SUMPRODUCT($E$7:$E$106*((((($U77-($T$7:$T$106-$C$7:$C$106))+ABS(($U77-($T$7:$T$106-$C$7:$C$106))))/2)+$C$7:$C$106-ABS(((($U77-($T$7:$T$106-$C$7:$C$106))+ABS(($U77-($T$7:$T$106-$C$7:$C$106))))/2)-$C$7:$C$106))/2))-SUMPRODUCT($E$7:$E$106*(((((($U77-$L77)-($T$7:$T$106-$C$7:$C$106))+ABS((($U77-$L77)-($T$7:$T$106-$C$7:$C$106))))/2)+$C$7:$C$106-ABS((((($U77-$L77)-($T$7:$T$106-$C$7:$C$106))+ABS((($U77-$L77)-($T$7:$T$106-$C$7:$C$106))))/2)-$C$7:$C$106))/2)))</f>
        <v/>
      </c>
      <c r="O77" s="37" t="str">
        <f aca="false">IF($L77=0,"",N(DIARIO!$L73)-IF(DIARIO!$K73="EUR",N(DIARIO!$J73),0))</f>
        <v/>
      </c>
      <c r="P77" s="37" t="str">
        <f aca="false">IF($L77=0,"",$O77-$N77)</f>
        <v/>
      </c>
      <c r="R77" s="38" t="str">
        <f aca="false">IF(DIARIO!$C73="","",IFERROR(INDEX(PARÁMETROS!$D$5:$D$15,MATCH(DIARIO!$C73,PARÁMETROS!$A$5:$A$15,0)),""))</f>
        <v/>
      </c>
      <c r="S77" s="38" t="str">
        <f aca="false">IF(DIARIO!$C73="","",IFERROR(INDEX(PARÁMETROS!$E$5:$E$15,MATCH(DIARIO!$C73,PARÁMETROS!$A$5:$A$15,0)),""))</f>
        <v/>
      </c>
      <c r="T77" s="39" t="n">
        <f aca="false">SUM($C$7:$C77)</f>
        <v>0.55</v>
      </c>
      <c r="U77" s="39" t="n">
        <f aca="false">SUM($L$7:$L77)</f>
        <v>0</v>
      </c>
    </row>
    <row r="78" customFormat="false" ht="15" hidden="false" customHeight="false" outlineLevel="0" collapsed="false">
      <c r="A78" s="24" t="str">
        <f aca="false">IF($C78=0,"",DIARIO!$A74)</f>
        <v/>
      </c>
      <c r="B78" s="33" t="str">
        <f aca="false">IF($C78=0,"",DIARIO!$B74)</f>
        <v/>
      </c>
      <c r="C78" s="34" t="n">
        <f aca="false">IF(AND($R78="Sí",DIARIO!$H74=$B$2),N(DIARIO!$I74),0)</f>
        <v>0</v>
      </c>
      <c r="D78" s="35" t="n">
        <f aca="false">IF($C78=0,0,N(DIARIO!$L74)+IF(DIARIO!$K74="EUR",N(DIARIO!$J74),0))</f>
        <v>0</v>
      </c>
      <c r="E78" s="35" t="n">
        <f aca="false">IF($C78=0,0,$D78/$C78)</f>
        <v>0</v>
      </c>
      <c r="F78" s="36" t="str">
        <f aca="false">IF($C78=0,"",$T78)</f>
        <v/>
      </c>
      <c r="G78" s="36" t="str">
        <f aca="false">IF($C78=0,"",MAX(0,MIN($C78,$E$4-($T78-$C78))))</f>
        <v/>
      </c>
      <c r="H78" s="36" t="str">
        <f aca="false">IF($C78=0,"",$C78-$G78)</f>
        <v/>
      </c>
      <c r="J78" s="24" t="str">
        <f aca="false">IF($L78=0,"",DIARIO!$A74)</f>
        <v/>
      </c>
      <c r="K78" s="33" t="str">
        <f aca="false">IF($L78=0,"",DIARIO!$B74)</f>
        <v/>
      </c>
      <c r="L78" s="34" t="n">
        <f aca="false">IF(AND($S78="Sí",DIARIO!$F74=$B$2),N(DIARIO!$G74),0)</f>
        <v>0</v>
      </c>
      <c r="M78" s="36" t="str">
        <f aca="false">IF($L78=0,"",$U78)</f>
        <v/>
      </c>
      <c r="N78" s="37" t="str">
        <f aca="false">IF($L78=0,"",SUMPRODUCT($E$7:$E$106*((((($U78-($T$7:$T$106-$C$7:$C$106))+ABS(($U78-($T$7:$T$106-$C$7:$C$106))))/2)+$C$7:$C$106-ABS(((($U78-($T$7:$T$106-$C$7:$C$106))+ABS(($U78-($T$7:$T$106-$C$7:$C$106))))/2)-$C$7:$C$106))/2))-SUMPRODUCT($E$7:$E$106*(((((($U78-$L78)-($T$7:$T$106-$C$7:$C$106))+ABS((($U78-$L78)-($T$7:$T$106-$C$7:$C$106))))/2)+$C$7:$C$106-ABS((((($U78-$L78)-($T$7:$T$106-$C$7:$C$106))+ABS((($U78-$L78)-($T$7:$T$106-$C$7:$C$106))))/2)-$C$7:$C$106))/2)))</f>
        <v/>
      </c>
      <c r="O78" s="37" t="str">
        <f aca="false">IF($L78=0,"",N(DIARIO!$L74)-IF(DIARIO!$K74="EUR",N(DIARIO!$J74),0))</f>
        <v/>
      </c>
      <c r="P78" s="37" t="str">
        <f aca="false">IF($L78=0,"",$O78-$N78)</f>
        <v/>
      </c>
      <c r="R78" s="38" t="str">
        <f aca="false">IF(DIARIO!$C74="","",IFERROR(INDEX(PARÁMETROS!$D$5:$D$15,MATCH(DIARIO!$C74,PARÁMETROS!$A$5:$A$15,0)),""))</f>
        <v/>
      </c>
      <c r="S78" s="38" t="str">
        <f aca="false">IF(DIARIO!$C74="","",IFERROR(INDEX(PARÁMETROS!$E$5:$E$15,MATCH(DIARIO!$C74,PARÁMETROS!$A$5:$A$15,0)),""))</f>
        <v/>
      </c>
      <c r="T78" s="39" t="n">
        <f aca="false">SUM($C$7:$C78)</f>
        <v>0.55</v>
      </c>
      <c r="U78" s="39" t="n">
        <f aca="false">SUM($L$7:$L78)</f>
        <v>0</v>
      </c>
    </row>
    <row r="79" customFormat="false" ht="15" hidden="false" customHeight="false" outlineLevel="0" collapsed="false">
      <c r="A79" s="24" t="str">
        <f aca="false">IF($C79=0,"",DIARIO!$A75)</f>
        <v/>
      </c>
      <c r="B79" s="33" t="str">
        <f aca="false">IF($C79=0,"",DIARIO!$B75)</f>
        <v/>
      </c>
      <c r="C79" s="34" t="n">
        <f aca="false">IF(AND($R79="Sí",DIARIO!$H75=$B$2),N(DIARIO!$I75),0)</f>
        <v>0</v>
      </c>
      <c r="D79" s="35" t="n">
        <f aca="false">IF($C79=0,0,N(DIARIO!$L75)+IF(DIARIO!$K75="EUR",N(DIARIO!$J75),0))</f>
        <v>0</v>
      </c>
      <c r="E79" s="35" t="n">
        <f aca="false">IF($C79=0,0,$D79/$C79)</f>
        <v>0</v>
      </c>
      <c r="F79" s="36" t="str">
        <f aca="false">IF($C79=0,"",$T79)</f>
        <v/>
      </c>
      <c r="G79" s="36" t="str">
        <f aca="false">IF($C79=0,"",MAX(0,MIN($C79,$E$4-($T79-$C79))))</f>
        <v/>
      </c>
      <c r="H79" s="36" t="str">
        <f aca="false">IF($C79=0,"",$C79-$G79)</f>
        <v/>
      </c>
      <c r="J79" s="24" t="str">
        <f aca="false">IF($L79=0,"",DIARIO!$A75)</f>
        <v/>
      </c>
      <c r="K79" s="33" t="str">
        <f aca="false">IF($L79=0,"",DIARIO!$B75)</f>
        <v/>
      </c>
      <c r="L79" s="34" t="n">
        <f aca="false">IF(AND($S79="Sí",DIARIO!$F75=$B$2),N(DIARIO!$G75),0)</f>
        <v>0</v>
      </c>
      <c r="M79" s="36" t="str">
        <f aca="false">IF($L79=0,"",$U79)</f>
        <v/>
      </c>
      <c r="N79" s="37" t="str">
        <f aca="false">IF($L79=0,"",SUMPRODUCT($E$7:$E$106*((((($U79-($T$7:$T$106-$C$7:$C$106))+ABS(($U79-($T$7:$T$106-$C$7:$C$106))))/2)+$C$7:$C$106-ABS(((($U79-($T$7:$T$106-$C$7:$C$106))+ABS(($U79-($T$7:$T$106-$C$7:$C$106))))/2)-$C$7:$C$106))/2))-SUMPRODUCT($E$7:$E$106*(((((($U79-$L79)-($T$7:$T$106-$C$7:$C$106))+ABS((($U79-$L79)-($T$7:$T$106-$C$7:$C$106))))/2)+$C$7:$C$106-ABS((((($U79-$L79)-($T$7:$T$106-$C$7:$C$106))+ABS((($U79-$L79)-($T$7:$T$106-$C$7:$C$106))))/2)-$C$7:$C$106))/2)))</f>
        <v/>
      </c>
      <c r="O79" s="37" t="str">
        <f aca="false">IF($L79=0,"",N(DIARIO!$L75)-IF(DIARIO!$K75="EUR",N(DIARIO!$J75),0))</f>
        <v/>
      </c>
      <c r="P79" s="37" t="str">
        <f aca="false">IF($L79=0,"",$O79-$N79)</f>
        <v/>
      </c>
      <c r="R79" s="38" t="str">
        <f aca="false">IF(DIARIO!$C75="","",IFERROR(INDEX(PARÁMETROS!$D$5:$D$15,MATCH(DIARIO!$C75,PARÁMETROS!$A$5:$A$15,0)),""))</f>
        <v/>
      </c>
      <c r="S79" s="38" t="str">
        <f aca="false">IF(DIARIO!$C75="","",IFERROR(INDEX(PARÁMETROS!$E$5:$E$15,MATCH(DIARIO!$C75,PARÁMETROS!$A$5:$A$15,0)),""))</f>
        <v/>
      </c>
      <c r="T79" s="39" t="n">
        <f aca="false">SUM($C$7:$C79)</f>
        <v>0.55</v>
      </c>
      <c r="U79" s="39" t="n">
        <f aca="false">SUM($L$7:$L79)</f>
        <v>0</v>
      </c>
    </row>
    <row r="80" customFormat="false" ht="15" hidden="false" customHeight="false" outlineLevel="0" collapsed="false">
      <c r="A80" s="24" t="str">
        <f aca="false">IF($C80=0,"",DIARIO!$A76)</f>
        <v/>
      </c>
      <c r="B80" s="33" t="str">
        <f aca="false">IF($C80=0,"",DIARIO!$B76)</f>
        <v/>
      </c>
      <c r="C80" s="34" t="n">
        <f aca="false">IF(AND($R80="Sí",DIARIO!$H76=$B$2),N(DIARIO!$I76),0)</f>
        <v>0</v>
      </c>
      <c r="D80" s="35" t="n">
        <f aca="false">IF($C80=0,0,N(DIARIO!$L76)+IF(DIARIO!$K76="EUR",N(DIARIO!$J76),0))</f>
        <v>0</v>
      </c>
      <c r="E80" s="35" t="n">
        <f aca="false">IF($C80=0,0,$D80/$C80)</f>
        <v>0</v>
      </c>
      <c r="F80" s="36" t="str">
        <f aca="false">IF($C80=0,"",$T80)</f>
        <v/>
      </c>
      <c r="G80" s="36" t="str">
        <f aca="false">IF($C80=0,"",MAX(0,MIN($C80,$E$4-($T80-$C80))))</f>
        <v/>
      </c>
      <c r="H80" s="36" t="str">
        <f aca="false">IF($C80=0,"",$C80-$G80)</f>
        <v/>
      </c>
      <c r="J80" s="24" t="str">
        <f aca="false">IF($L80=0,"",DIARIO!$A76)</f>
        <v/>
      </c>
      <c r="K80" s="33" t="str">
        <f aca="false">IF($L80=0,"",DIARIO!$B76)</f>
        <v/>
      </c>
      <c r="L80" s="34" t="n">
        <f aca="false">IF(AND($S80="Sí",DIARIO!$F76=$B$2),N(DIARIO!$G76),0)</f>
        <v>0</v>
      </c>
      <c r="M80" s="36" t="str">
        <f aca="false">IF($L80=0,"",$U80)</f>
        <v/>
      </c>
      <c r="N80" s="37" t="str">
        <f aca="false">IF($L80=0,"",SUMPRODUCT($E$7:$E$106*((((($U80-($T$7:$T$106-$C$7:$C$106))+ABS(($U80-($T$7:$T$106-$C$7:$C$106))))/2)+$C$7:$C$106-ABS(((($U80-($T$7:$T$106-$C$7:$C$106))+ABS(($U80-($T$7:$T$106-$C$7:$C$106))))/2)-$C$7:$C$106))/2))-SUMPRODUCT($E$7:$E$106*(((((($U80-$L80)-($T$7:$T$106-$C$7:$C$106))+ABS((($U80-$L80)-($T$7:$T$106-$C$7:$C$106))))/2)+$C$7:$C$106-ABS((((($U80-$L80)-($T$7:$T$106-$C$7:$C$106))+ABS((($U80-$L80)-($T$7:$T$106-$C$7:$C$106))))/2)-$C$7:$C$106))/2)))</f>
        <v/>
      </c>
      <c r="O80" s="37" t="str">
        <f aca="false">IF($L80=0,"",N(DIARIO!$L76)-IF(DIARIO!$K76="EUR",N(DIARIO!$J76),0))</f>
        <v/>
      </c>
      <c r="P80" s="37" t="str">
        <f aca="false">IF($L80=0,"",$O80-$N80)</f>
        <v/>
      </c>
      <c r="R80" s="38" t="str">
        <f aca="false">IF(DIARIO!$C76="","",IFERROR(INDEX(PARÁMETROS!$D$5:$D$15,MATCH(DIARIO!$C76,PARÁMETROS!$A$5:$A$15,0)),""))</f>
        <v/>
      </c>
      <c r="S80" s="38" t="str">
        <f aca="false">IF(DIARIO!$C76="","",IFERROR(INDEX(PARÁMETROS!$E$5:$E$15,MATCH(DIARIO!$C76,PARÁMETROS!$A$5:$A$15,0)),""))</f>
        <v/>
      </c>
      <c r="T80" s="39" t="n">
        <f aca="false">SUM($C$7:$C80)</f>
        <v>0.55</v>
      </c>
      <c r="U80" s="39" t="n">
        <f aca="false">SUM($L$7:$L80)</f>
        <v>0</v>
      </c>
    </row>
    <row r="81" customFormat="false" ht="15" hidden="false" customHeight="false" outlineLevel="0" collapsed="false">
      <c r="A81" s="24" t="str">
        <f aca="false">IF($C81=0,"",DIARIO!$A77)</f>
        <v/>
      </c>
      <c r="B81" s="33" t="str">
        <f aca="false">IF($C81=0,"",DIARIO!$B77)</f>
        <v/>
      </c>
      <c r="C81" s="34" t="n">
        <f aca="false">IF(AND($R81="Sí",DIARIO!$H77=$B$2),N(DIARIO!$I77),0)</f>
        <v>0</v>
      </c>
      <c r="D81" s="35" t="n">
        <f aca="false">IF($C81=0,0,N(DIARIO!$L77)+IF(DIARIO!$K77="EUR",N(DIARIO!$J77),0))</f>
        <v>0</v>
      </c>
      <c r="E81" s="35" t="n">
        <f aca="false">IF($C81=0,0,$D81/$C81)</f>
        <v>0</v>
      </c>
      <c r="F81" s="36" t="str">
        <f aca="false">IF($C81=0,"",$T81)</f>
        <v/>
      </c>
      <c r="G81" s="36" t="str">
        <f aca="false">IF($C81=0,"",MAX(0,MIN($C81,$E$4-($T81-$C81))))</f>
        <v/>
      </c>
      <c r="H81" s="36" t="str">
        <f aca="false">IF($C81=0,"",$C81-$G81)</f>
        <v/>
      </c>
      <c r="J81" s="24" t="str">
        <f aca="false">IF($L81=0,"",DIARIO!$A77)</f>
        <v/>
      </c>
      <c r="K81" s="33" t="str">
        <f aca="false">IF($L81=0,"",DIARIO!$B77)</f>
        <v/>
      </c>
      <c r="L81" s="34" t="n">
        <f aca="false">IF(AND($S81="Sí",DIARIO!$F77=$B$2),N(DIARIO!$G77),0)</f>
        <v>0</v>
      </c>
      <c r="M81" s="36" t="str">
        <f aca="false">IF($L81=0,"",$U81)</f>
        <v/>
      </c>
      <c r="N81" s="37" t="str">
        <f aca="false">IF($L81=0,"",SUMPRODUCT($E$7:$E$106*((((($U81-($T$7:$T$106-$C$7:$C$106))+ABS(($U81-($T$7:$T$106-$C$7:$C$106))))/2)+$C$7:$C$106-ABS(((($U81-($T$7:$T$106-$C$7:$C$106))+ABS(($U81-($T$7:$T$106-$C$7:$C$106))))/2)-$C$7:$C$106))/2))-SUMPRODUCT($E$7:$E$106*(((((($U81-$L81)-($T$7:$T$106-$C$7:$C$106))+ABS((($U81-$L81)-($T$7:$T$106-$C$7:$C$106))))/2)+$C$7:$C$106-ABS((((($U81-$L81)-($T$7:$T$106-$C$7:$C$106))+ABS((($U81-$L81)-($T$7:$T$106-$C$7:$C$106))))/2)-$C$7:$C$106))/2)))</f>
        <v/>
      </c>
      <c r="O81" s="37" t="str">
        <f aca="false">IF($L81=0,"",N(DIARIO!$L77)-IF(DIARIO!$K77="EUR",N(DIARIO!$J77),0))</f>
        <v/>
      </c>
      <c r="P81" s="37" t="str">
        <f aca="false">IF($L81=0,"",$O81-$N81)</f>
        <v/>
      </c>
      <c r="R81" s="38" t="str">
        <f aca="false">IF(DIARIO!$C77="","",IFERROR(INDEX(PARÁMETROS!$D$5:$D$15,MATCH(DIARIO!$C77,PARÁMETROS!$A$5:$A$15,0)),""))</f>
        <v/>
      </c>
      <c r="S81" s="38" t="str">
        <f aca="false">IF(DIARIO!$C77="","",IFERROR(INDEX(PARÁMETROS!$E$5:$E$15,MATCH(DIARIO!$C77,PARÁMETROS!$A$5:$A$15,0)),""))</f>
        <v/>
      </c>
      <c r="T81" s="39" t="n">
        <f aca="false">SUM($C$7:$C81)</f>
        <v>0.55</v>
      </c>
      <c r="U81" s="39" t="n">
        <f aca="false">SUM($L$7:$L81)</f>
        <v>0</v>
      </c>
    </row>
    <row r="82" customFormat="false" ht="15" hidden="false" customHeight="false" outlineLevel="0" collapsed="false">
      <c r="A82" s="24" t="str">
        <f aca="false">IF($C82=0,"",DIARIO!$A78)</f>
        <v/>
      </c>
      <c r="B82" s="33" t="str">
        <f aca="false">IF($C82=0,"",DIARIO!$B78)</f>
        <v/>
      </c>
      <c r="C82" s="34" t="n">
        <f aca="false">IF(AND($R82="Sí",DIARIO!$H78=$B$2),N(DIARIO!$I78),0)</f>
        <v>0</v>
      </c>
      <c r="D82" s="35" t="n">
        <f aca="false">IF($C82=0,0,N(DIARIO!$L78)+IF(DIARIO!$K78="EUR",N(DIARIO!$J78),0))</f>
        <v>0</v>
      </c>
      <c r="E82" s="35" t="n">
        <f aca="false">IF($C82=0,0,$D82/$C82)</f>
        <v>0</v>
      </c>
      <c r="F82" s="36" t="str">
        <f aca="false">IF($C82=0,"",$T82)</f>
        <v/>
      </c>
      <c r="G82" s="36" t="str">
        <f aca="false">IF($C82=0,"",MAX(0,MIN($C82,$E$4-($T82-$C82))))</f>
        <v/>
      </c>
      <c r="H82" s="36" t="str">
        <f aca="false">IF($C82=0,"",$C82-$G82)</f>
        <v/>
      </c>
      <c r="J82" s="24" t="str">
        <f aca="false">IF($L82=0,"",DIARIO!$A78)</f>
        <v/>
      </c>
      <c r="K82" s="33" t="str">
        <f aca="false">IF($L82=0,"",DIARIO!$B78)</f>
        <v/>
      </c>
      <c r="L82" s="34" t="n">
        <f aca="false">IF(AND($S82="Sí",DIARIO!$F78=$B$2),N(DIARIO!$G78),0)</f>
        <v>0</v>
      </c>
      <c r="M82" s="36" t="str">
        <f aca="false">IF($L82=0,"",$U82)</f>
        <v/>
      </c>
      <c r="N82" s="37" t="str">
        <f aca="false">IF($L82=0,"",SUMPRODUCT($E$7:$E$106*((((($U82-($T$7:$T$106-$C$7:$C$106))+ABS(($U82-($T$7:$T$106-$C$7:$C$106))))/2)+$C$7:$C$106-ABS(((($U82-($T$7:$T$106-$C$7:$C$106))+ABS(($U82-($T$7:$T$106-$C$7:$C$106))))/2)-$C$7:$C$106))/2))-SUMPRODUCT($E$7:$E$106*(((((($U82-$L82)-($T$7:$T$106-$C$7:$C$106))+ABS((($U82-$L82)-($T$7:$T$106-$C$7:$C$106))))/2)+$C$7:$C$106-ABS((((($U82-$L82)-($T$7:$T$106-$C$7:$C$106))+ABS((($U82-$L82)-($T$7:$T$106-$C$7:$C$106))))/2)-$C$7:$C$106))/2)))</f>
        <v/>
      </c>
      <c r="O82" s="37" t="str">
        <f aca="false">IF($L82=0,"",N(DIARIO!$L78)-IF(DIARIO!$K78="EUR",N(DIARIO!$J78),0))</f>
        <v/>
      </c>
      <c r="P82" s="37" t="str">
        <f aca="false">IF($L82=0,"",$O82-$N82)</f>
        <v/>
      </c>
      <c r="R82" s="38" t="str">
        <f aca="false">IF(DIARIO!$C78="","",IFERROR(INDEX(PARÁMETROS!$D$5:$D$15,MATCH(DIARIO!$C78,PARÁMETROS!$A$5:$A$15,0)),""))</f>
        <v/>
      </c>
      <c r="S82" s="38" t="str">
        <f aca="false">IF(DIARIO!$C78="","",IFERROR(INDEX(PARÁMETROS!$E$5:$E$15,MATCH(DIARIO!$C78,PARÁMETROS!$A$5:$A$15,0)),""))</f>
        <v/>
      </c>
      <c r="T82" s="39" t="n">
        <f aca="false">SUM($C$7:$C82)</f>
        <v>0.55</v>
      </c>
      <c r="U82" s="39" t="n">
        <f aca="false">SUM($L$7:$L82)</f>
        <v>0</v>
      </c>
    </row>
    <row r="83" customFormat="false" ht="15" hidden="false" customHeight="false" outlineLevel="0" collapsed="false">
      <c r="A83" s="24" t="str">
        <f aca="false">IF($C83=0,"",DIARIO!$A79)</f>
        <v/>
      </c>
      <c r="B83" s="33" t="str">
        <f aca="false">IF($C83=0,"",DIARIO!$B79)</f>
        <v/>
      </c>
      <c r="C83" s="34" t="n">
        <f aca="false">IF(AND($R83="Sí",DIARIO!$H79=$B$2),N(DIARIO!$I79),0)</f>
        <v>0</v>
      </c>
      <c r="D83" s="35" t="n">
        <f aca="false">IF($C83=0,0,N(DIARIO!$L79)+IF(DIARIO!$K79="EUR",N(DIARIO!$J79),0))</f>
        <v>0</v>
      </c>
      <c r="E83" s="35" t="n">
        <f aca="false">IF($C83=0,0,$D83/$C83)</f>
        <v>0</v>
      </c>
      <c r="F83" s="36" t="str">
        <f aca="false">IF($C83=0,"",$T83)</f>
        <v/>
      </c>
      <c r="G83" s="36" t="str">
        <f aca="false">IF($C83=0,"",MAX(0,MIN($C83,$E$4-($T83-$C83))))</f>
        <v/>
      </c>
      <c r="H83" s="36" t="str">
        <f aca="false">IF($C83=0,"",$C83-$G83)</f>
        <v/>
      </c>
      <c r="J83" s="24" t="str">
        <f aca="false">IF($L83=0,"",DIARIO!$A79)</f>
        <v/>
      </c>
      <c r="K83" s="33" t="str">
        <f aca="false">IF($L83=0,"",DIARIO!$B79)</f>
        <v/>
      </c>
      <c r="L83" s="34" t="n">
        <f aca="false">IF(AND($S83="Sí",DIARIO!$F79=$B$2),N(DIARIO!$G79),0)</f>
        <v>0</v>
      </c>
      <c r="M83" s="36" t="str">
        <f aca="false">IF($L83=0,"",$U83)</f>
        <v/>
      </c>
      <c r="N83" s="37" t="str">
        <f aca="false">IF($L83=0,"",SUMPRODUCT($E$7:$E$106*((((($U83-($T$7:$T$106-$C$7:$C$106))+ABS(($U83-($T$7:$T$106-$C$7:$C$106))))/2)+$C$7:$C$106-ABS(((($U83-($T$7:$T$106-$C$7:$C$106))+ABS(($U83-($T$7:$T$106-$C$7:$C$106))))/2)-$C$7:$C$106))/2))-SUMPRODUCT($E$7:$E$106*(((((($U83-$L83)-($T$7:$T$106-$C$7:$C$106))+ABS((($U83-$L83)-($T$7:$T$106-$C$7:$C$106))))/2)+$C$7:$C$106-ABS((((($U83-$L83)-($T$7:$T$106-$C$7:$C$106))+ABS((($U83-$L83)-($T$7:$T$106-$C$7:$C$106))))/2)-$C$7:$C$106))/2)))</f>
        <v/>
      </c>
      <c r="O83" s="37" t="str">
        <f aca="false">IF($L83=0,"",N(DIARIO!$L79)-IF(DIARIO!$K79="EUR",N(DIARIO!$J79),0))</f>
        <v/>
      </c>
      <c r="P83" s="37" t="str">
        <f aca="false">IF($L83=0,"",$O83-$N83)</f>
        <v/>
      </c>
      <c r="R83" s="38" t="str">
        <f aca="false">IF(DIARIO!$C79="","",IFERROR(INDEX(PARÁMETROS!$D$5:$D$15,MATCH(DIARIO!$C79,PARÁMETROS!$A$5:$A$15,0)),""))</f>
        <v/>
      </c>
      <c r="S83" s="38" t="str">
        <f aca="false">IF(DIARIO!$C79="","",IFERROR(INDEX(PARÁMETROS!$E$5:$E$15,MATCH(DIARIO!$C79,PARÁMETROS!$A$5:$A$15,0)),""))</f>
        <v/>
      </c>
      <c r="T83" s="39" t="n">
        <f aca="false">SUM($C$7:$C83)</f>
        <v>0.55</v>
      </c>
      <c r="U83" s="39" t="n">
        <f aca="false">SUM($L$7:$L83)</f>
        <v>0</v>
      </c>
    </row>
    <row r="84" customFormat="false" ht="15" hidden="false" customHeight="false" outlineLevel="0" collapsed="false">
      <c r="A84" s="24" t="str">
        <f aca="false">IF($C84=0,"",DIARIO!$A80)</f>
        <v/>
      </c>
      <c r="B84" s="33" t="str">
        <f aca="false">IF($C84=0,"",DIARIO!$B80)</f>
        <v/>
      </c>
      <c r="C84" s="34" t="n">
        <f aca="false">IF(AND($R84="Sí",DIARIO!$H80=$B$2),N(DIARIO!$I80),0)</f>
        <v>0</v>
      </c>
      <c r="D84" s="35" t="n">
        <f aca="false">IF($C84=0,0,N(DIARIO!$L80)+IF(DIARIO!$K80="EUR",N(DIARIO!$J80),0))</f>
        <v>0</v>
      </c>
      <c r="E84" s="35" t="n">
        <f aca="false">IF($C84=0,0,$D84/$C84)</f>
        <v>0</v>
      </c>
      <c r="F84" s="36" t="str">
        <f aca="false">IF($C84=0,"",$T84)</f>
        <v/>
      </c>
      <c r="G84" s="36" t="str">
        <f aca="false">IF($C84=0,"",MAX(0,MIN($C84,$E$4-($T84-$C84))))</f>
        <v/>
      </c>
      <c r="H84" s="36" t="str">
        <f aca="false">IF($C84=0,"",$C84-$G84)</f>
        <v/>
      </c>
      <c r="J84" s="24" t="str">
        <f aca="false">IF($L84=0,"",DIARIO!$A80)</f>
        <v/>
      </c>
      <c r="K84" s="33" t="str">
        <f aca="false">IF($L84=0,"",DIARIO!$B80)</f>
        <v/>
      </c>
      <c r="L84" s="34" t="n">
        <f aca="false">IF(AND($S84="Sí",DIARIO!$F80=$B$2),N(DIARIO!$G80),0)</f>
        <v>0</v>
      </c>
      <c r="M84" s="36" t="str">
        <f aca="false">IF($L84=0,"",$U84)</f>
        <v/>
      </c>
      <c r="N84" s="37" t="str">
        <f aca="false">IF($L84=0,"",SUMPRODUCT($E$7:$E$106*((((($U84-($T$7:$T$106-$C$7:$C$106))+ABS(($U84-($T$7:$T$106-$C$7:$C$106))))/2)+$C$7:$C$106-ABS(((($U84-($T$7:$T$106-$C$7:$C$106))+ABS(($U84-($T$7:$T$106-$C$7:$C$106))))/2)-$C$7:$C$106))/2))-SUMPRODUCT($E$7:$E$106*(((((($U84-$L84)-($T$7:$T$106-$C$7:$C$106))+ABS((($U84-$L84)-($T$7:$T$106-$C$7:$C$106))))/2)+$C$7:$C$106-ABS((((($U84-$L84)-($T$7:$T$106-$C$7:$C$106))+ABS((($U84-$L84)-($T$7:$T$106-$C$7:$C$106))))/2)-$C$7:$C$106))/2)))</f>
        <v/>
      </c>
      <c r="O84" s="37" t="str">
        <f aca="false">IF($L84=0,"",N(DIARIO!$L80)-IF(DIARIO!$K80="EUR",N(DIARIO!$J80),0))</f>
        <v/>
      </c>
      <c r="P84" s="37" t="str">
        <f aca="false">IF($L84=0,"",$O84-$N84)</f>
        <v/>
      </c>
      <c r="R84" s="38" t="str">
        <f aca="false">IF(DIARIO!$C80="","",IFERROR(INDEX(PARÁMETROS!$D$5:$D$15,MATCH(DIARIO!$C80,PARÁMETROS!$A$5:$A$15,0)),""))</f>
        <v/>
      </c>
      <c r="S84" s="38" t="str">
        <f aca="false">IF(DIARIO!$C80="","",IFERROR(INDEX(PARÁMETROS!$E$5:$E$15,MATCH(DIARIO!$C80,PARÁMETROS!$A$5:$A$15,0)),""))</f>
        <v/>
      </c>
      <c r="T84" s="39" t="n">
        <f aca="false">SUM($C$7:$C84)</f>
        <v>0.55</v>
      </c>
      <c r="U84" s="39" t="n">
        <f aca="false">SUM($L$7:$L84)</f>
        <v>0</v>
      </c>
    </row>
    <row r="85" customFormat="false" ht="15" hidden="false" customHeight="false" outlineLevel="0" collapsed="false">
      <c r="A85" s="24" t="str">
        <f aca="false">IF($C85=0,"",DIARIO!$A81)</f>
        <v/>
      </c>
      <c r="B85" s="33" t="str">
        <f aca="false">IF($C85=0,"",DIARIO!$B81)</f>
        <v/>
      </c>
      <c r="C85" s="34" t="n">
        <f aca="false">IF(AND($R85="Sí",DIARIO!$H81=$B$2),N(DIARIO!$I81),0)</f>
        <v>0</v>
      </c>
      <c r="D85" s="35" t="n">
        <f aca="false">IF($C85=0,0,N(DIARIO!$L81)+IF(DIARIO!$K81="EUR",N(DIARIO!$J81),0))</f>
        <v>0</v>
      </c>
      <c r="E85" s="35" t="n">
        <f aca="false">IF($C85=0,0,$D85/$C85)</f>
        <v>0</v>
      </c>
      <c r="F85" s="36" t="str">
        <f aca="false">IF($C85=0,"",$T85)</f>
        <v/>
      </c>
      <c r="G85" s="36" t="str">
        <f aca="false">IF($C85=0,"",MAX(0,MIN($C85,$E$4-($T85-$C85))))</f>
        <v/>
      </c>
      <c r="H85" s="36" t="str">
        <f aca="false">IF($C85=0,"",$C85-$G85)</f>
        <v/>
      </c>
      <c r="J85" s="24" t="str">
        <f aca="false">IF($L85=0,"",DIARIO!$A81)</f>
        <v/>
      </c>
      <c r="K85" s="33" t="str">
        <f aca="false">IF($L85=0,"",DIARIO!$B81)</f>
        <v/>
      </c>
      <c r="L85" s="34" t="n">
        <f aca="false">IF(AND($S85="Sí",DIARIO!$F81=$B$2),N(DIARIO!$G81),0)</f>
        <v>0</v>
      </c>
      <c r="M85" s="36" t="str">
        <f aca="false">IF($L85=0,"",$U85)</f>
        <v/>
      </c>
      <c r="N85" s="37" t="str">
        <f aca="false">IF($L85=0,"",SUMPRODUCT($E$7:$E$106*((((($U85-($T$7:$T$106-$C$7:$C$106))+ABS(($U85-($T$7:$T$106-$C$7:$C$106))))/2)+$C$7:$C$106-ABS(((($U85-($T$7:$T$106-$C$7:$C$106))+ABS(($U85-($T$7:$T$106-$C$7:$C$106))))/2)-$C$7:$C$106))/2))-SUMPRODUCT($E$7:$E$106*(((((($U85-$L85)-($T$7:$T$106-$C$7:$C$106))+ABS((($U85-$L85)-($T$7:$T$106-$C$7:$C$106))))/2)+$C$7:$C$106-ABS((((($U85-$L85)-($T$7:$T$106-$C$7:$C$106))+ABS((($U85-$L85)-($T$7:$T$106-$C$7:$C$106))))/2)-$C$7:$C$106))/2)))</f>
        <v/>
      </c>
      <c r="O85" s="37" t="str">
        <f aca="false">IF($L85=0,"",N(DIARIO!$L81)-IF(DIARIO!$K81="EUR",N(DIARIO!$J81),0))</f>
        <v/>
      </c>
      <c r="P85" s="37" t="str">
        <f aca="false">IF($L85=0,"",$O85-$N85)</f>
        <v/>
      </c>
      <c r="R85" s="38" t="str">
        <f aca="false">IF(DIARIO!$C81="","",IFERROR(INDEX(PARÁMETROS!$D$5:$D$15,MATCH(DIARIO!$C81,PARÁMETROS!$A$5:$A$15,0)),""))</f>
        <v/>
      </c>
      <c r="S85" s="38" t="str">
        <f aca="false">IF(DIARIO!$C81="","",IFERROR(INDEX(PARÁMETROS!$E$5:$E$15,MATCH(DIARIO!$C81,PARÁMETROS!$A$5:$A$15,0)),""))</f>
        <v/>
      </c>
      <c r="T85" s="39" t="n">
        <f aca="false">SUM($C$7:$C85)</f>
        <v>0.55</v>
      </c>
      <c r="U85" s="39" t="n">
        <f aca="false">SUM($L$7:$L85)</f>
        <v>0</v>
      </c>
    </row>
    <row r="86" customFormat="false" ht="15" hidden="false" customHeight="false" outlineLevel="0" collapsed="false">
      <c r="A86" s="24" t="str">
        <f aca="false">IF($C86=0,"",DIARIO!$A82)</f>
        <v/>
      </c>
      <c r="B86" s="33" t="str">
        <f aca="false">IF($C86=0,"",DIARIO!$B82)</f>
        <v/>
      </c>
      <c r="C86" s="34" t="n">
        <f aca="false">IF(AND($R86="Sí",DIARIO!$H82=$B$2),N(DIARIO!$I82),0)</f>
        <v>0</v>
      </c>
      <c r="D86" s="35" t="n">
        <f aca="false">IF($C86=0,0,N(DIARIO!$L82)+IF(DIARIO!$K82="EUR",N(DIARIO!$J82),0))</f>
        <v>0</v>
      </c>
      <c r="E86" s="35" t="n">
        <f aca="false">IF($C86=0,0,$D86/$C86)</f>
        <v>0</v>
      </c>
      <c r="F86" s="36" t="str">
        <f aca="false">IF($C86=0,"",$T86)</f>
        <v/>
      </c>
      <c r="G86" s="36" t="str">
        <f aca="false">IF($C86=0,"",MAX(0,MIN($C86,$E$4-($T86-$C86))))</f>
        <v/>
      </c>
      <c r="H86" s="36" t="str">
        <f aca="false">IF($C86=0,"",$C86-$G86)</f>
        <v/>
      </c>
      <c r="J86" s="24" t="str">
        <f aca="false">IF($L86=0,"",DIARIO!$A82)</f>
        <v/>
      </c>
      <c r="K86" s="33" t="str">
        <f aca="false">IF($L86=0,"",DIARIO!$B82)</f>
        <v/>
      </c>
      <c r="L86" s="34" t="n">
        <f aca="false">IF(AND($S86="Sí",DIARIO!$F82=$B$2),N(DIARIO!$G82),0)</f>
        <v>0</v>
      </c>
      <c r="M86" s="36" t="str">
        <f aca="false">IF($L86=0,"",$U86)</f>
        <v/>
      </c>
      <c r="N86" s="37" t="str">
        <f aca="false">IF($L86=0,"",SUMPRODUCT($E$7:$E$106*((((($U86-($T$7:$T$106-$C$7:$C$106))+ABS(($U86-($T$7:$T$106-$C$7:$C$106))))/2)+$C$7:$C$106-ABS(((($U86-($T$7:$T$106-$C$7:$C$106))+ABS(($U86-($T$7:$T$106-$C$7:$C$106))))/2)-$C$7:$C$106))/2))-SUMPRODUCT($E$7:$E$106*(((((($U86-$L86)-($T$7:$T$106-$C$7:$C$106))+ABS((($U86-$L86)-($T$7:$T$106-$C$7:$C$106))))/2)+$C$7:$C$106-ABS((((($U86-$L86)-($T$7:$T$106-$C$7:$C$106))+ABS((($U86-$L86)-($T$7:$T$106-$C$7:$C$106))))/2)-$C$7:$C$106))/2)))</f>
        <v/>
      </c>
      <c r="O86" s="37" t="str">
        <f aca="false">IF($L86=0,"",N(DIARIO!$L82)-IF(DIARIO!$K82="EUR",N(DIARIO!$J82),0))</f>
        <v/>
      </c>
      <c r="P86" s="37" t="str">
        <f aca="false">IF($L86=0,"",$O86-$N86)</f>
        <v/>
      </c>
      <c r="R86" s="38" t="str">
        <f aca="false">IF(DIARIO!$C82="","",IFERROR(INDEX(PARÁMETROS!$D$5:$D$15,MATCH(DIARIO!$C82,PARÁMETROS!$A$5:$A$15,0)),""))</f>
        <v/>
      </c>
      <c r="S86" s="38" t="str">
        <f aca="false">IF(DIARIO!$C82="","",IFERROR(INDEX(PARÁMETROS!$E$5:$E$15,MATCH(DIARIO!$C82,PARÁMETROS!$A$5:$A$15,0)),""))</f>
        <v/>
      </c>
      <c r="T86" s="39" t="n">
        <f aca="false">SUM($C$7:$C86)</f>
        <v>0.55</v>
      </c>
      <c r="U86" s="39" t="n">
        <f aca="false">SUM($L$7:$L86)</f>
        <v>0</v>
      </c>
    </row>
    <row r="87" customFormat="false" ht="15" hidden="false" customHeight="false" outlineLevel="0" collapsed="false">
      <c r="A87" s="24" t="str">
        <f aca="false">IF($C87=0,"",DIARIO!$A83)</f>
        <v/>
      </c>
      <c r="B87" s="33" t="str">
        <f aca="false">IF($C87=0,"",DIARIO!$B83)</f>
        <v/>
      </c>
      <c r="C87" s="34" t="n">
        <f aca="false">IF(AND($R87="Sí",DIARIO!$H83=$B$2),N(DIARIO!$I83),0)</f>
        <v>0</v>
      </c>
      <c r="D87" s="35" t="n">
        <f aca="false">IF($C87=0,0,N(DIARIO!$L83)+IF(DIARIO!$K83="EUR",N(DIARIO!$J83),0))</f>
        <v>0</v>
      </c>
      <c r="E87" s="35" t="n">
        <f aca="false">IF($C87=0,0,$D87/$C87)</f>
        <v>0</v>
      </c>
      <c r="F87" s="36" t="str">
        <f aca="false">IF($C87=0,"",$T87)</f>
        <v/>
      </c>
      <c r="G87" s="36" t="str">
        <f aca="false">IF($C87=0,"",MAX(0,MIN($C87,$E$4-($T87-$C87))))</f>
        <v/>
      </c>
      <c r="H87" s="36" t="str">
        <f aca="false">IF($C87=0,"",$C87-$G87)</f>
        <v/>
      </c>
      <c r="J87" s="24" t="str">
        <f aca="false">IF($L87=0,"",DIARIO!$A83)</f>
        <v/>
      </c>
      <c r="K87" s="33" t="str">
        <f aca="false">IF($L87=0,"",DIARIO!$B83)</f>
        <v/>
      </c>
      <c r="L87" s="34" t="n">
        <f aca="false">IF(AND($S87="Sí",DIARIO!$F83=$B$2),N(DIARIO!$G83),0)</f>
        <v>0</v>
      </c>
      <c r="M87" s="36" t="str">
        <f aca="false">IF($L87=0,"",$U87)</f>
        <v/>
      </c>
      <c r="N87" s="37" t="str">
        <f aca="false">IF($L87=0,"",SUMPRODUCT($E$7:$E$106*((((($U87-($T$7:$T$106-$C$7:$C$106))+ABS(($U87-($T$7:$T$106-$C$7:$C$106))))/2)+$C$7:$C$106-ABS(((($U87-($T$7:$T$106-$C$7:$C$106))+ABS(($U87-($T$7:$T$106-$C$7:$C$106))))/2)-$C$7:$C$106))/2))-SUMPRODUCT($E$7:$E$106*(((((($U87-$L87)-($T$7:$T$106-$C$7:$C$106))+ABS((($U87-$L87)-($T$7:$T$106-$C$7:$C$106))))/2)+$C$7:$C$106-ABS((((($U87-$L87)-($T$7:$T$106-$C$7:$C$106))+ABS((($U87-$L87)-($T$7:$T$106-$C$7:$C$106))))/2)-$C$7:$C$106))/2)))</f>
        <v/>
      </c>
      <c r="O87" s="37" t="str">
        <f aca="false">IF($L87=0,"",N(DIARIO!$L83)-IF(DIARIO!$K83="EUR",N(DIARIO!$J83),0))</f>
        <v/>
      </c>
      <c r="P87" s="37" t="str">
        <f aca="false">IF($L87=0,"",$O87-$N87)</f>
        <v/>
      </c>
      <c r="R87" s="38" t="str">
        <f aca="false">IF(DIARIO!$C83="","",IFERROR(INDEX(PARÁMETROS!$D$5:$D$15,MATCH(DIARIO!$C83,PARÁMETROS!$A$5:$A$15,0)),""))</f>
        <v/>
      </c>
      <c r="S87" s="38" t="str">
        <f aca="false">IF(DIARIO!$C83="","",IFERROR(INDEX(PARÁMETROS!$E$5:$E$15,MATCH(DIARIO!$C83,PARÁMETROS!$A$5:$A$15,0)),""))</f>
        <v/>
      </c>
      <c r="T87" s="39" t="n">
        <f aca="false">SUM($C$7:$C87)</f>
        <v>0.55</v>
      </c>
      <c r="U87" s="39" t="n">
        <f aca="false">SUM($L$7:$L87)</f>
        <v>0</v>
      </c>
    </row>
    <row r="88" customFormat="false" ht="15" hidden="false" customHeight="false" outlineLevel="0" collapsed="false">
      <c r="A88" s="24" t="str">
        <f aca="false">IF($C88=0,"",DIARIO!$A84)</f>
        <v/>
      </c>
      <c r="B88" s="33" t="str">
        <f aca="false">IF($C88=0,"",DIARIO!$B84)</f>
        <v/>
      </c>
      <c r="C88" s="34" t="n">
        <f aca="false">IF(AND($R88="Sí",DIARIO!$H84=$B$2),N(DIARIO!$I84),0)</f>
        <v>0</v>
      </c>
      <c r="D88" s="35" t="n">
        <f aca="false">IF($C88=0,0,N(DIARIO!$L84)+IF(DIARIO!$K84="EUR",N(DIARIO!$J84),0))</f>
        <v>0</v>
      </c>
      <c r="E88" s="35" t="n">
        <f aca="false">IF($C88=0,0,$D88/$C88)</f>
        <v>0</v>
      </c>
      <c r="F88" s="36" t="str">
        <f aca="false">IF($C88=0,"",$T88)</f>
        <v/>
      </c>
      <c r="G88" s="36" t="str">
        <f aca="false">IF($C88=0,"",MAX(0,MIN($C88,$E$4-($T88-$C88))))</f>
        <v/>
      </c>
      <c r="H88" s="36" t="str">
        <f aca="false">IF($C88=0,"",$C88-$G88)</f>
        <v/>
      </c>
      <c r="J88" s="24" t="str">
        <f aca="false">IF($L88=0,"",DIARIO!$A84)</f>
        <v/>
      </c>
      <c r="K88" s="33" t="str">
        <f aca="false">IF($L88=0,"",DIARIO!$B84)</f>
        <v/>
      </c>
      <c r="L88" s="34" t="n">
        <f aca="false">IF(AND($S88="Sí",DIARIO!$F84=$B$2),N(DIARIO!$G84),0)</f>
        <v>0</v>
      </c>
      <c r="M88" s="36" t="str">
        <f aca="false">IF($L88=0,"",$U88)</f>
        <v/>
      </c>
      <c r="N88" s="37" t="str">
        <f aca="false">IF($L88=0,"",SUMPRODUCT($E$7:$E$106*((((($U88-($T$7:$T$106-$C$7:$C$106))+ABS(($U88-($T$7:$T$106-$C$7:$C$106))))/2)+$C$7:$C$106-ABS(((($U88-($T$7:$T$106-$C$7:$C$106))+ABS(($U88-($T$7:$T$106-$C$7:$C$106))))/2)-$C$7:$C$106))/2))-SUMPRODUCT($E$7:$E$106*(((((($U88-$L88)-($T$7:$T$106-$C$7:$C$106))+ABS((($U88-$L88)-($T$7:$T$106-$C$7:$C$106))))/2)+$C$7:$C$106-ABS((((($U88-$L88)-($T$7:$T$106-$C$7:$C$106))+ABS((($U88-$L88)-($T$7:$T$106-$C$7:$C$106))))/2)-$C$7:$C$106))/2)))</f>
        <v/>
      </c>
      <c r="O88" s="37" t="str">
        <f aca="false">IF($L88=0,"",N(DIARIO!$L84)-IF(DIARIO!$K84="EUR",N(DIARIO!$J84),0))</f>
        <v/>
      </c>
      <c r="P88" s="37" t="str">
        <f aca="false">IF($L88=0,"",$O88-$N88)</f>
        <v/>
      </c>
      <c r="R88" s="38" t="str">
        <f aca="false">IF(DIARIO!$C84="","",IFERROR(INDEX(PARÁMETROS!$D$5:$D$15,MATCH(DIARIO!$C84,PARÁMETROS!$A$5:$A$15,0)),""))</f>
        <v/>
      </c>
      <c r="S88" s="38" t="str">
        <f aca="false">IF(DIARIO!$C84="","",IFERROR(INDEX(PARÁMETROS!$E$5:$E$15,MATCH(DIARIO!$C84,PARÁMETROS!$A$5:$A$15,0)),""))</f>
        <v/>
      </c>
      <c r="T88" s="39" t="n">
        <f aca="false">SUM($C$7:$C88)</f>
        <v>0.55</v>
      </c>
      <c r="U88" s="39" t="n">
        <f aca="false">SUM($L$7:$L88)</f>
        <v>0</v>
      </c>
    </row>
    <row r="89" customFormat="false" ht="15" hidden="false" customHeight="false" outlineLevel="0" collapsed="false">
      <c r="A89" s="24" t="str">
        <f aca="false">IF($C89=0,"",DIARIO!$A85)</f>
        <v/>
      </c>
      <c r="B89" s="33" t="str">
        <f aca="false">IF($C89=0,"",DIARIO!$B85)</f>
        <v/>
      </c>
      <c r="C89" s="34" t="n">
        <f aca="false">IF(AND($R89="Sí",DIARIO!$H85=$B$2),N(DIARIO!$I85),0)</f>
        <v>0</v>
      </c>
      <c r="D89" s="35" t="n">
        <f aca="false">IF($C89=0,0,N(DIARIO!$L85)+IF(DIARIO!$K85="EUR",N(DIARIO!$J85),0))</f>
        <v>0</v>
      </c>
      <c r="E89" s="35" t="n">
        <f aca="false">IF($C89=0,0,$D89/$C89)</f>
        <v>0</v>
      </c>
      <c r="F89" s="36" t="str">
        <f aca="false">IF($C89=0,"",$T89)</f>
        <v/>
      </c>
      <c r="G89" s="36" t="str">
        <f aca="false">IF($C89=0,"",MAX(0,MIN($C89,$E$4-($T89-$C89))))</f>
        <v/>
      </c>
      <c r="H89" s="36" t="str">
        <f aca="false">IF($C89=0,"",$C89-$G89)</f>
        <v/>
      </c>
      <c r="J89" s="24" t="str">
        <f aca="false">IF($L89=0,"",DIARIO!$A85)</f>
        <v/>
      </c>
      <c r="K89" s="33" t="str">
        <f aca="false">IF($L89=0,"",DIARIO!$B85)</f>
        <v/>
      </c>
      <c r="L89" s="34" t="n">
        <f aca="false">IF(AND($S89="Sí",DIARIO!$F85=$B$2),N(DIARIO!$G85),0)</f>
        <v>0</v>
      </c>
      <c r="M89" s="36" t="str">
        <f aca="false">IF($L89=0,"",$U89)</f>
        <v/>
      </c>
      <c r="N89" s="37" t="str">
        <f aca="false">IF($L89=0,"",SUMPRODUCT($E$7:$E$106*((((($U89-($T$7:$T$106-$C$7:$C$106))+ABS(($U89-($T$7:$T$106-$C$7:$C$106))))/2)+$C$7:$C$106-ABS(((($U89-($T$7:$T$106-$C$7:$C$106))+ABS(($U89-($T$7:$T$106-$C$7:$C$106))))/2)-$C$7:$C$106))/2))-SUMPRODUCT($E$7:$E$106*(((((($U89-$L89)-($T$7:$T$106-$C$7:$C$106))+ABS((($U89-$L89)-($T$7:$T$106-$C$7:$C$106))))/2)+$C$7:$C$106-ABS((((($U89-$L89)-($T$7:$T$106-$C$7:$C$106))+ABS((($U89-$L89)-($T$7:$T$106-$C$7:$C$106))))/2)-$C$7:$C$106))/2)))</f>
        <v/>
      </c>
      <c r="O89" s="37" t="str">
        <f aca="false">IF($L89=0,"",N(DIARIO!$L85)-IF(DIARIO!$K85="EUR",N(DIARIO!$J85),0))</f>
        <v/>
      </c>
      <c r="P89" s="37" t="str">
        <f aca="false">IF($L89=0,"",$O89-$N89)</f>
        <v/>
      </c>
      <c r="R89" s="38" t="str">
        <f aca="false">IF(DIARIO!$C85="","",IFERROR(INDEX(PARÁMETROS!$D$5:$D$15,MATCH(DIARIO!$C85,PARÁMETROS!$A$5:$A$15,0)),""))</f>
        <v/>
      </c>
      <c r="S89" s="38" t="str">
        <f aca="false">IF(DIARIO!$C85="","",IFERROR(INDEX(PARÁMETROS!$E$5:$E$15,MATCH(DIARIO!$C85,PARÁMETROS!$A$5:$A$15,0)),""))</f>
        <v/>
      </c>
      <c r="T89" s="39" t="n">
        <f aca="false">SUM($C$7:$C89)</f>
        <v>0.55</v>
      </c>
      <c r="U89" s="39" t="n">
        <f aca="false">SUM($L$7:$L89)</f>
        <v>0</v>
      </c>
    </row>
    <row r="90" customFormat="false" ht="15" hidden="false" customHeight="false" outlineLevel="0" collapsed="false">
      <c r="A90" s="24" t="str">
        <f aca="false">IF($C90=0,"",DIARIO!$A86)</f>
        <v/>
      </c>
      <c r="B90" s="33" t="str">
        <f aca="false">IF($C90=0,"",DIARIO!$B86)</f>
        <v/>
      </c>
      <c r="C90" s="34" t="n">
        <f aca="false">IF(AND($R90="Sí",DIARIO!$H86=$B$2),N(DIARIO!$I86),0)</f>
        <v>0</v>
      </c>
      <c r="D90" s="35" t="n">
        <f aca="false">IF($C90=0,0,N(DIARIO!$L86)+IF(DIARIO!$K86="EUR",N(DIARIO!$J86),0))</f>
        <v>0</v>
      </c>
      <c r="E90" s="35" t="n">
        <f aca="false">IF($C90=0,0,$D90/$C90)</f>
        <v>0</v>
      </c>
      <c r="F90" s="36" t="str">
        <f aca="false">IF($C90=0,"",$T90)</f>
        <v/>
      </c>
      <c r="G90" s="36" t="str">
        <f aca="false">IF($C90=0,"",MAX(0,MIN($C90,$E$4-($T90-$C90))))</f>
        <v/>
      </c>
      <c r="H90" s="36" t="str">
        <f aca="false">IF($C90=0,"",$C90-$G90)</f>
        <v/>
      </c>
      <c r="J90" s="24" t="str">
        <f aca="false">IF($L90=0,"",DIARIO!$A86)</f>
        <v/>
      </c>
      <c r="K90" s="33" t="str">
        <f aca="false">IF($L90=0,"",DIARIO!$B86)</f>
        <v/>
      </c>
      <c r="L90" s="34" t="n">
        <f aca="false">IF(AND($S90="Sí",DIARIO!$F86=$B$2),N(DIARIO!$G86),0)</f>
        <v>0</v>
      </c>
      <c r="M90" s="36" t="str">
        <f aca="false">IF($L90=0,"",$U90)</f>
        <v/>
      </c>
      <c r="N90" s="37" t="str">
        <f aca="false">IF($L90=0,"",SUMPRODUCT($E$7:$E$106*((((($U90-($T$7:$T$106-$C$7:$C$106))+ABS(($U90-($T$7:$T$106-$C$7:$C$106))))/2)+$C$7:$C$106-ABS(((($U90-($T$7:$T$106-$C$7:$C$106))+ABS(($U90-($T$7:$T$106-$C$7:$C$106))))/2)-$C$7:$C$106))/2))-SUMPRODUCT($E$7:$E$106*(((((($U90-$L90)-($T$7:$T$106-$C$7:$C$106))+ABS((($U90-$L90)-($T$7:$T$106-$C$7:$C$106))))/2)+$C$7:$C$106-ABS((((($U90-$L90)-($T$7:$T$106-$C$7:$C$106))+ABS((($U90-$L90)-($T$7:$T$106-$C$7:$C$106))))/2)-$C$7:$C$106))/2)))</f>
        <v/>
      </c>
      <c r="O90" s="37" t="str">
        <f aca="false">IF($L90=0,"",N(DIARIO!$L86)-IF(DIARIO!$K86="EUR",N(DIARIO!$J86),0))</f>
        <v/>
      </c>
      <c r="P90" s="37" t="str">
        <f aca="false">IF($L90=0,"",$O90-$N90)</f>
        <v/>
      </c>
      <c r="R90" s="38" t="str">
        <f aca="false">IF(DIARIO!$C86="","",IFERROR(INDEX(PARÁMETROS!$D$5:$D$15,MATCH(DIARIO!$C86,PARÁMETROS!$A$5:$A$15,0)),""))</f>
        <v/>
      </c>
      <c r="S90" s="38" t="str">
        <f aca="false">IF(DIARIO!$C86="","",IFERROR(INDEX(PARÁMETROS!$E$5:$E$15,MATCH(DIARIO!$C86,PARÁMETROS!$A$5:$A$15,0)),""))</f>
        <v/>
      </c>
      <c r="T90" s="39" t="n">
        <f aca="false">SUM($C$7:$C90)</f>
        <v>0.55</v>
      </c>
      <c r="U90" s="39" t="n">
        <f aca="false">SUM($L$7:$L90)</f>
        <v>0</v>
      </c>
    </row>
    <row r="91" customFormat="false" ht="15" hidden="false" customHeight="false" outlineLevel="0" collapsed="false">
      <c r="A91" s="24" t="str">
        <f aca="false">IF($C91=0,"",DIARIO!$A87)</f>
        <v/>
      </c>
      <c r="B91" s="33" t="str">
        <f aca="false">IF($C91=0,"",DIARIO!$B87)</f>
        <v/>
      </c>
      <c r="C91" s="34" t="n">
        <f aca="false">IF(AND($R91="Sí",DIARIO!$H87=$B$2),N(DIARIO!$I87),0)</f>
        <v>0</v>
      </c>
      <c r="D91" s="35" t="n">
        <f aca="false">IF($C91=0,0,N(DIARIO!$L87)+IF(DIARIO!$K87="EUR",N(DIARIO!$J87),0))</f>
        <v>0</v>
      </c>
      <c r="E91" s="35" t="n">
        <f aca="false">IF($C91=0,0,$D91/$C91)</f>
        <v>0</v>
      </c>
      <c r="F91" s="36" t="str">
        <f aca="false">IF($C91=0,"",$T91)</f>
        <v/>
      </c>
      <c r="G91" s="36" t="str">
        <f aca="false">IF($C91=0,"",MAX(0,MIN($C91,$E$4-($T91-$C91))))</f>
        <v/>
      </c>
      <c r="H91" s="36" t="str">
        <f aca="false">IF($C91=0,"",$C91-$G91)</f>
        <v/>
      </c>
      <c r="J91" s="24" t="str">
        <f aca="false">IF($L91=0,"",DIARIO!$A87)</f>
        <v/>
      </c>
      <c r="K91" s="33" t="str">
        <f aca="false">IF($L91=0,"",DIARIO!$B87)</f>
        <v/>
      </c>
      <c r="L91" s="34" t="n">
        <f aca="false">IF(AND($S91="Sí",DIARIO!$F87=$B$2),N(DIARIO!$G87),0)</f>
        <v>0</v>
      </c>
      <c r="M91" s="36" t="str">
        <f aca="false">IF($L91=0,"",$U91)</f>
        <v/>
      </c>
      <c r="N91" s="37" t="str">
        <f aca="false">IF($L91=0,"",SUMPRODUCT($E$7:$E$106*((((($U91-($T$7:$T$106-$C$7:$C$106))+ABS(($U91-($T$7:$T$106-$C$7:$C$106))))/2)+$C$7:$C$106-ABS(((($U91-($T$7:$T$106-$C$7:$C$106))+ABS(($U91-($T$7:$T$106-$C$7:$C$106))))/2)-$C$7:$C$106))/2))-SUMPRODUCT($E$7:$E$106*(((((($U91-$L91)-($T$7:$T$106-$C$7:$C$106))+ABS((($U91-$L91)-($T$7:$T$106-$C$7:$C$106))))/2)+$C$7:$C$106-ABS((((($U91-$L91)-($T$7:$T$106-$C$7:$C$106))+ABS((($U91-$L91)-($T$7:$T$106-$C$7:$C$106))))/2)-$C$7:$C$106))/2)))</f>
        <v/>
      </c>
      <c r="O91" s="37" t="str">
        <f aca="false">IF($L91=0,"",N(DIARIO!$L87)-IF(DIARIO!$K87="EUR",N(DIARIO!$J87),0))</f>
        <v/>
      </c>
      <c r="P91" s="37" t="str">
        <f aca="false">IF($L91=0,"",$O91-$N91)</f>
        <v/>
      </c>
      <c r="R91" s="38" t="str">
        <f aca="false">IF(DIARIO!$C87="","",IFERROR(INDEX(PARÁMETROS!$D$5:$D$15,MATCH(DIARIO!$C87,PARÁMETROS!$A$5:$A$15,0)),""))</f>
        <v/>
      </c>
      <c r="S91" s="38" t="str">
        <f aca="false">IF(DIARIO!$C87="","",IFERROR(INDEX(PARÁMETROS!$E$5:$E$15,MATCH(DIARIO!$C87,PARÁMETROS!$A$5:$A$15,0)),""))</f>
        <v/>
      </c>
      <c r="T91" s="39" t="n">
        <f aca="false">SUM($C$7:$C91)</f>
        <v>0.55</v>
      </c>
      <c r="U91" s="39" t="n">
        <f aca="false">SUM($L$7:$L91)</f>
        <v>0</v>
      </c>
    </row>
    <row r="92" customFormat="false" ht="15" hidden="false" customHeight="false" outlineLevel="0" collapsed="false">
      <c r="A92" s="24" t="str">
        <f aca="false">IF($C92=0,"",DIARIO!$A88)</f>
        <v/>
      </c>
      <c r="B92" s="33" t="str">
        <f aca="false">IF($C92=0,"",DIARIO!$B88)</f>
        <v/>
      </c>
      <c r="C92" s="34" t="n">
        <f aca="false">IF(AND($R92="Sí",DIARIO!$H88=$B$2),N(DIARIO!$I88),0)</f>
        <v>0</v>
      </c>
      <c r="D92" s="35" t="n">
        <f aca="false">IF($C92=0,0,N(DIARIO!$L88)+IF(DIARIO!$K88="EUR",N(DIARIO!$J88),0))</f>
        <v>0</v>
      </c>
      <c r="E92" s="35" t="n">
        <f aca="false">IF($C92=0,0,$D92/$C92)</f>
        <v>0</v>
      </c>
      <c r="F92" s="36" t="str">
        <f aca="false">IF($C92=0,"",$T92)</f>
        <v/>
      </c>
      <c r="G92" s="36" t="str">
        <f aca="false">IF($C92=0,"",MAX(0,MIN($C92,$E$4-($T92-$C92))))</f>
        <v/>
      </c>
      <c r="H92" s="36" t="str">
        <f aca="false">IF($C92=0,"",$C92-$G92)</f>
        <v/>
      </c>
      <c r="J92" s="24" t="str">
        <f aca="false">IF($L92=0,"",DIARIO!$A88)</f>
        <v/>
      </c>
      <c r="K92" s="33" t="str">
        <f aca="false">IF($L92=0,"",DIARIO!$B88)</f>
        <v/>
      </c>
      <c r="L92" s="34" t="n">
        <f aca="false">IF(AND($S92="Sí",DIARIO!$F88=$B$2),N(DIARIO!$G88),0)</f>
        <v>0</v>
      </c>
      <c r="M92" s="36" t="str">
        <f aca="false">IF($L92=0,"",$U92)</f>
        <v/>
      </c>
      <c r="N92" s="37" t="str">
        <f aca="false">IF($L92=0,"",SUMPRODUCT($E$7:$E$106*((((($U92-($T$7:$T$106-$C$7:$C$106))+ABS(($U92-($T$7:$T$106-$C$7:$C$106))))/2)+$C$7:$C$106-ABS(((($U92-($T$7:$T$106-$C$7:$C$106))+ABS(($U92-($T$7:$T$106-$C$7:$C$106))))/2)-$C$7:$C$106))/2))-SUMPRODUCT($E$7:$E$106*(((((($U92-$L92)-($T$7:$T$106-$C$7:$C$106))+ABS((($U92-$L92)-($T$7:$T$106-$C$7:$C$106))))/2)+$C$7:$C$106-ABS((((($U92-$L92)-($T$7:$T$106-$C$7:$C$106))+ABS((($U92-$L92)-($T$7:$T$106-$C$7:$C$106))))/2)-$C$7:$C$106))/2)))</f>
        <v/>
      </c>
      <c r="O92" s="37" t="str">
        <f aca="false">IF($L92=0,"",N(DIARIO!$L88)-IF(DIARIO!$K88="EUR",N(DIARIO!$J88),0))</f>
        <v/>
      </c>
      <c r="P92" s="37" t="str">
        <f aca="false">IF($L92=0,"",$O92-$N92)</f>
        <v/>
      </c>
      <c r="R92" s="38" t="str">
        <f aca="false">IF(DIARIO!$C88="","",IFERROR(INDEX(PARÁMETROS!$D$5:$D$15,MATCH(DIARIO!$C88,PARÁMETROS!$A$5:$A$15,0)),""))</f>
        <v/>
      </c>
      <c r="S92" s="38" t="str">
        <f aca="false">IF(DIARIO!$C88="","",IFERROR(INDEX(PARÁMETROS!$E$5:$E$15,MATCH(DIARIO!$C88,PARÁMETROS!$A$5:$A$15,0)),""))</f>
        <v/>
      </c>
      <c r="T92" s="39" t="n">
        <f aca="false">SUM($C$7:$C92)</f>
        <v>0.55</v>
      </c>
      <c r="U92" s="39" t="n">
        <f aca="false">SUM($L$7:$L92)</f>
        <v>0</v>
      </c>
    </row>
    <row r="93" customFormat="false" ht="15" hidden="false" customHeight="false" outlineLevel="0" collapsed="false">
      <c r="A93" s="24" t="str">
        <f aca="false">IF($C93=0,"",DIARIO!$A89)</f>
        <v/>
      </c>
      <c r="B93" s="33" t="str">
        <f aca="false">IF($C93=0,"",DIARIO!$B89)</f>
        <v/>
      </c>
      <c r="C93" s="34" t="n">
        <f aca="false">IF(AND($R93="Sí",DIARIO!$H89=$B$2),N(DIARIO!$I89),0)</f>
        <v>0</v>
      </c>
      <c r="D93" s="35" t="n">
        <f aca="false">IF($C93=0,0,N(DIARIO!$L89)+IF(DIARIO!$K89="EUR",N(DIARIO!$J89),0))</f>
        <v>0</v>
      </c>
      <c r="E93" s="35" t="n">
        <f aca="false">IF($C93=0,0,$D93/$C93)</f>
        <v>0</v>
      </c>
      <c r="F93" s="36" t="str">
        <f aca="false">IF($C93=0,"",$T93)</f>
        <v/>
      </c>
      <c r="G93" s="36" t="str">
        <f aca="false">IF($C93=0,"",MAX(0,MIN($C93,$E$4-($T93-$C93))))</f>
        <v/>
      </c>
      <c r="H93" s="36" t="str">
        <f aca="false">IF($C93=0,"",$C93-$G93)</f>
        <v/>
      </c>
      <c r="J93" s="24" t="str">
        <f aca="false">IF($L93=0,"",DIARIO!$A89)</f>
        <v/>
      </c>
      <c r="K93" s="33" t="str">
        <f aca="false">IF($L93=0,"",DIARIO!$B89)</f>
        <v/>
      </c>
      <c r="L93" s="34" t="n">
        <f aca="false">IF(AND($S93="Sí",DIARIO!$F89=$B$2),N(DIARIO!$G89),0)</f>
        <v>0</v>
      </c>
      <c r="M93" s="36" t="str">
        <f aca="false">IF($L93=0,"",$U93)</f>
        <v/>
      </c>
      <c r="N93" s="37" t="str">
        <f aca="false">IF($L93=0,"",SUMPRODUCT($E$7:$E$106*((((($U93-($T$7:$T$106-$C$7:$C$106))+ABS(($U93-($T$7:$T$106-$C$7:$C$106))))/2)+$C$7:$C$106-ABS(((($U93-($T$7:$T$106-$C$7:$C$106))+ABS(($U93-($T$7:$T$106-$C$7:$C$106))))/2)-$C$7:$C$106))/2))-SUMPRODUCT($E$7:$E$106*(((((($U93-$L93)-($T$7:$T$106-$C$7:$C$106))+ABS((($U93-$L93)-($T$7:$T$106-$C$7:$C$106))))/2)+$C$7:$C$106-ABS((((($U93-$L93)-($T$7:$T$106-$C$7:$C$106))+ABS((($U93-$L93)-($T$7:$T$106-$C$7:$C$106))))/2)-$C$7:$C$106))/2)))</f>
        <v/>
      </c>
      <c r="O93" s="37" t="str">
        <f aca="false">IF($L93=0,"",N(DIARIO!$L89)-IF(DIARIO!$K89="EUR",N(DIARIO!$J89),0))</f>
        <v/>
      </c>
      <c r="P93" s="37" t="str">
        <f aca="false">IF($L93=0,"",$O93-$N93)</f>
        <v/>
      </c>
      <c r="R93" s="38" t="str">
        <f aca="false">IF(DIARIO!$C89="","",IFERROR(INDEX(PARÁMETROS!$D$5:$D$15,MATCH(DIARIO!$C89,PARÁMETROS!$A$5:$A$15,0)),""))</f>
        <v/>
      </c>
      <c r="S93" s="38" t="str">
        <f aca="false">IF(DIARIO!$C89="","",IFERROR(INDEX(PARÁMETROS!$E$5:$E$15,MATCH(DIARIO!$C89,PARÁMETROS!$A$5:$A$15,0)),""))</f>
        <v/>
      </c>
      <c r="T93" s="39" t="n">
        <f aca="false">SUM($C$7:$C93)</f>
        <v>0.55</v>
      </c>
      <c r="U93" s="39" t="n">
        <f aca="false">SUM($L$7:$L93)</f>
        <v>0</v>
      </c>
    </row>
    <row r="94" customFormat="false" ht="15" hidden="false" customHeight="false" outlineLevel="0" collapsed="false">
      <c r="A94" s="24" t="str">
        <f aca="false">IF($C94=0,"",DIARIO!$A90)</f>
        <v/>
      </c>
      <c r="B94" s="33" t="str">
        <f aca="false">IF($C94=0,"",DIARIO!$B90)</f>
        <v/>
      </c>
      <c r="C94" s="34" t="n">
        <f aca="false">IF(AND($R94="Sí",DIARIO!$H90=$B$2),N(DIARIO!$I90),0)</f>
        <v>0</v>
      </c>
      <c r="D94" s="35" t="n">
        <f aca="false">IF($C94=0,0,N(DIARIO!$L90)+IF(DIARIO!$K90="EUR",N(DIARIO!$J90),0))</f>
        <v>0</v>
      </c>
      <c r="E94" s="35" t="n">
        <f aca="false">IF($C94=0,0,$D94/$C94)</f>
        <v>0</v>
      </c>
      <c r="F94" s="36" t="str">
        <f aca="false">IF($C94=0,"",$T94)</f>
        <v/>
      </c>
      <c r="G94" s="36" t="str">
        <f aca="false">IF($C94=0,"",MAX(0,MIN($C94,$E$4-($T94-$C94))))</f>
        <v/>
      </c>
      <c r="H94" s="36" t="str">
        <f aca="false">IF($C94=0,"",$C94-$G94)</f>
        <v/>
      </c>
      <c r="J94" s="24" t="str">
        <f aca="false">IF($L94=0,"",DIARIO!$A90)</f>
        <v/>
      </c>
      <c r="K94" s="33" t="str">
        <f aca="false">IF($L94=0,"",DIARIO!$B90)</f>
        <v/>
      </c>
      <c r="L94" s="34" t="n">
        <f aca="false">IF(AND($S94="Sí",DIARIO!$F90=$B$2),N(DIARIO!$G90),0)</f>
        <v>0</v>
      </c>
      <c r="M94" s="36" t="str">
        <f aca="false">IF($L94=0,"",$U94)</f>
        <v/>
      </c>
      <c r="N94" s="37" t="str">
        <f aca="false">IF($L94=0,"",SUMPRODUCT($E$7:$E$106*((((($U94-($T$7:$T$106-$C$7:$C$106))+ABS(($U94-($T$7:$T$106-$C$7:$C$106))))/2)+$C$7:$C$106-ABS(((($U94-($T$7:$T$106-$C$7:$C$106))+ABS(($U94-($T$7:$T$106-$C$7:$C$106))))/2)-$C$7:$C$106))/2))-SUMPRODUCT($E$7:$E$106*(((((($U94-$L94)-($T$7:$T$106-$C$7:$C$106))+ABS((($U94-$L94)-($T$7:$T$106-$C$7:$C$106))))/2)+$C$7:$C$106-ABS((((($U94-$L94)-($T$7:$T$106-$C$7:$C$106))+ABS((($U94-$L94)-($T$7:$T$106-$C$7:$C$106))))/2)-$C$7:$C$106))/2)))</f>
        <v/>
      </c>
      <c r="O94" s="37" t="str">
        <f aca="false">IF($L94=0,"",N(DIARIO!$L90)-IF(DIARIO!$K90="EUR",N(DIARIO!$J90),0))</f>
        <v/>
      </c>
      <c r="P94" s="37" t="str">
        <f aca="false">IF($L94=0,"",$O94-$N94)</f>
        <v/>
      </c>
      <c r="R94" s="38" t="str">
        <f aca="false">IF(DIARIO!$C90="","",IFERROR(INDEX(PARÁMETROS!$D$5:$D$15,MATCH(DIARIO!$C90,PARÁMETROS!$A$5:$A$15,0)),""))</f>
        <v/>
      </c>
      <c r="S94" s="38" t="str">
        <f aca="false">IF(DIARIO!$C90="","",IFERROR(INDEX(PARÁMETROS!$E$5:$E$15,MATCH(DIARIO!$C90,PARÁMETROS!$A$5:$A$15,0)),""))</f>
        <v/>
      </c>
      <c r="T94" s="39" t="n">
        <f aca="false">SUM($C$7:$C94)</f>
        <v>0.55</v>
      </c>
      <c r="U94" s="39" t="n">
        <f aca="false">SUM($L$7:$L94)</f>
        <v>0</v>
      </c>
    </row>
    <row r="95" customFormat="false" ht="15" hidden="false" customHeight="false" outlineLevel="0" collapsed="false">
      <c r="A95" s="24" t="str">
        <f aca="false">IF($C95=0,"",DIARIO!$A91)</f>
        <v/>
      </c>
      <c r="B95" s="33" t="str">
        <f aca="false">IF($C95=0,"",DIARIO!$B91)</f>
        <v/>
      </c>
      <c r="C95" s="34" t="n">
        <f aca="false">IF(AND($R95="Sí",DIARIO!$H91=$B$2),N(DIARIO!$I91),0)</f>
        <v>0</v>
      </c>
      <c r="D95" s="35" t="n">
        <f aca="false">IF($C95=0,0,N(DIARIO!$L91)+IF(DIARIO!$K91="EUR",N(DIARIO!$J91),0))</f>
        <v>0</v>
      </c>
      <c r="E95" s="35" t="n">
        <f aca="false">IF($C95=0,0,$D95/$C95)</f>
        <v>0</v>
      </c>
      <c r="F95" s="36" t="str">
        <f aca="false">IF($C95=0,"",$T95)</f>
        <v/>
      </c>
      <c r="G95" s="36" t="str">
        <f aca="false">IF($C95=0,"",MAX(0,MIN($C95,$E$4-($T95-$C95))))</f>
        <v/>
      </c>
      <c r="H95" s="36" t="str">
        <f aca="false">IF($C95=0,"",$C95-$G95)</f>
        <v/>
      </c>
      <c r="J95" s="24" t="str">
        <f aca="false">IF($L95=0,"",DIARIO!$A91)</f>
        <v/>
      </c>
      <c r="K95" s="33" t="str">
        <f aca="false">IF($L95=0,"",DIARIO!$B91)</f>
        <v/>
      </c>
      <c r="L95" s="34" t="n">
        <f aca="false">IF(AND($S95="Sí",DIARIO!$F91=$B$2),N(DIARIO!$G91),0)</f>
        <v>0</v>
      </c>
      <c r="M95" s="36" t="str">
        <f aca="false">IF($L95=0,"",$U95)</f>
        <v/>
      </c>
      <c r="N95" s="37" t="str">
        <f aca="false">IF($L95=0,"",SUMPRODUCT($E$7:$E$106*((((($U95-($T$7:$T$106-$C$7:$C$106))+ABS(($U95-($T$7:$T$106-$C$7:$C$106))))/2)+$C$7:$C$106-ABS(((($U95-($T$7:$T$106-$C$7:$C$106))+ABS(($U95-($T$7:$T$106-$C$7:$C$106))))/2)-$C$7:$C$106))/2))-SUMPRODUCT($E$7:$E$106*(((((($U95-$L95)-($T$7:$T$106-$C$7:$C$106))+ABS((($U95-$L95)-($T$7:$T$106-$C$7:$C$106))))/2)+$C$7:$C$106-ABS((((($U95-$L95)-($T$7:$T$106-$C$7:$C$106))+ABS((($U95-$L95)-($T$7:$T$106-$C$7:$C$106))))/2)-$C$7:$C$106))/2)))</f>
        <v/>
      </c>
      <c r="O95" s="37" t="str">
        <f aca="false">IF($L95=0,"",N(DIARIO!$L91)-IF(DIARIO!$K91="EUR",N(DIARIO!$J91),0))</f>
        <v/>
      </c>
      <c r="P95" s="37" t="str">
        <f aca="false">IF($L95=0,"",$O95-$N95)</f>
        <v/>
      </c>
      <c r="R95" s="38" t="str">
        <f aca="false">IF(DIARIO!$C91="","",IFERROR(INDEX(PARÁMETROS!$D$5:$D$15,MATCH(DIARIO!$C91,PARÁMETROS!$A$5:$A$15,0)),""))</f>
        <v/>
      </c>
      <c r="S95" s="38" t="str">
        <f aca="false">IF(DIARIO!$C91="","",IFERROR(INDEX(PARÁMETROS!$E$5:$E$15,MATCH(DIARIO!$C91,PARÁMETROS!$A$5:$A$15,0)),""))</f>
        <v/>
      </c>
      <c r="T95" s="39" t="n">
        <f aca="false">SUM($C$7:$C95)</f>
        <v>0.55</v>
      </c>
      <c r="U95" s="39" t="n">
        <f aca="false">SUM($L$7:$L95)</f>
        <v>0</v>
      </c>
    </row>
    <row r="96" customFormat="false" ht="15" hidden="false" customHeight="false" outlineLevel="0" collapsed="false">
      <c r="A96" s="24" t="str">
        <f aca="false">IF($C96=0,"",DIARIO!$A92)</f>
        <v/>
      </c>
      <c r="B96" s="33" t="str">
        <f aca="false">IF($C96=0,"",DIARIO!$B92)</f>
        <v/>
      </c>
      <c r="C96" s="34" t="n">
        <f aca="false">IF(AND($R96="Sí",DIARIO!$H92=$B$2),N(DIARIO!$I92),0)</f>
        <v>0</v>
      </c>
      <c r="D96" s="35" t="n">
        <f aca="false">IF($C96=0,0,N(DIARIO!$L92)+IF(DIARIO!$K92="EUR",N(DIARIO!$J92),0))</f>
        <v>0</v>
      </c>
      <c r="E96" s="35" t="n">
        <f aca="false">IF($C96=0,0,$D96/$C96)</f>
        <v>0</v>
      </c>
      <c r="F96" s="36" t="str">
        <f aca="false">IF($C96=0,"",$T96)</f>
        <v/>
      </c>
      <c r="G96" s="36" t="str">
        <f aca="false">IF($C96=0,"",MAX(0,MIN($C96,$E$4-($T96-$C96))))</f>
        <v/>
      </c>
      <c r="H96" s="36" t="str">
        <f aca="false">IF($C96=0,"",$C96-$G96)</f>
        <v/>
      </c>
      <c r="J96" s="24" t="str">
        <f aca="false">IF($L96=0,"",DIARIO!$A92)</f>
        <v/>
      </c>
      <c r="K96" s="33" t="str">
        <f aca="false">IF($L96=0,"",DIARIO!$B92)</f>
        <v/>
      </c>
      <c r="L96" s="34" t="n">
        <f aca="false">IF(AND($S96="Sí",DIARIO!$F92=$B$2),N(DIARIO!$G92),0)</f>
        <v>0</v>
      </c>
      <c r="M96" s="36" t="str">
        <f aca="false">IF($L96=0,"",$U96)</f>
        <v/>
      </c>
      <c r="N96" s="37" t="str">
        <f aca="false">IF($L96=0,"",SUMPRODUCT($E$7:$E$106*((((($U96-($T$7:$T$106-$C$7:$C$106))+ABS(($U96-($T$7:$T$106-$C$7:$C$106))))/2)+$C$7:$C$106-ABS(((($U96-($T$7:$T$106-$C$7:$C$106))+ABS(($U96-($T$7:$T$106-$C$7:$C$106))))/2)-$C$7:$C$106))/2))-SUMPRODUCT($E$7:$E$106*(((((($U96-$L96)-($T$7:$T$106-$C$7:$C$106))+ABS((($U96-$L96)-($T$7:$T$106-$C$7:$C$106))))/2)+$C$7:$C$106-ABS((((($U96-$L96)-($T$7:$T$106-$C$7:$C$106))+ABS((($U96-$L96)-($T$7:$T$106-$C$7:$C$106))))/2)-$C$7:$C$106))/2)))</f>
        <v/>
      </c>
      <c r="O96" s="37" t="str">
        <f aca="false">IF($L96=0,"",N(DIARIO!$L92)-IF(DIARIO!$K92="EUR",N(DIARIO!$J92),0))</f>
        <v/>
      </c>
      <c r="P96" s="37" t="str">
        <f aca="false">IF($L96=0,"",$O96-$N96)</f>
        <v/>
      </c>
      <c r="R96" s="38" t="str">
        <f aca="false">IF(DIARIO!$C92="","",IFERROR(INDEX(PARÁMETROS!$D$5:$D$15,MATCH(DIARIO!$C92,PARÁMETROS!$A$5:$A$15,0)),""))</f>
        <v/>
      </c>
      <c r="S96" s="38" t="str">
        <f aca="false">IF(DIARIO!$C92="","",IFERROR(INDEX(PARÁMETROS!$E$5:$E$15,MATCH(DIARIO!$C92,PARÁMETROS!$A$5:$A$15,0)),""))</f>
        <v/>
      </c>
      <c r="T96" s="39" t="n">
        <f aca="false">SUM($C$7:$C96)</f>
        <v>0.55</v>
      </c>
      <c r="U96" s="39" t="n">
        <f aca="false">SUM($L$7:$L96)</f>
        <v>0</v>
      </c>
    </row>
    <row r="97" customFormat="false" ht="15" hidden="false" customHeight="false" outlineLevel="0" collapsed="false">
      <c r="A97" s="24" t="str">
        <f aca="false">IF($C97=0,"",DIARIO!$A93)</f>
        <v/>
      </c>
      <c r="B97" s="33" t="str">
        <f aca="false">IF($C97=0,"",DIARIO!$B93)</f>
        <v/>
      </c>
      <c r="C97" s="34" t="n">
        <f aca="false">IF(AND($R97="Sí",DIARIO!$H93=$B$2),N(DIARIO!$I93),0)</f>
        <v>0</v>
      </c>
      <c r="D97" s="35" t="n">
        <f aca="false">IF($C97=0,0,N(DIARIO!$L93)+IF(DIARIO!$K93="EUR",N(DIARIO!$J93),0))</f>
        <v>0</v>
      </c>
      <c r="E97" s="35" t="n">
        <f aca="false">IF($C97=0,0,$D97/$C97)</f>
        <v>0</v>
      </c>
      <c r="F97" s="36" t="str">
        <f aca="false">IF($C97=0,"",$T97)</f>
        <v/>
      </c>
      <c r="G97" s="36" t="str">
        <f aca="false">IF($C97=0,"",MAX(0,MIN($C97,$E$4-($T97-$C97))))</f>
        <v/>
      </c>
      <c r="H97" s="36" t="str">
        <f aca="false">IF($C97=0,"",$C97-$G97)</f>
        <v/>
      </c>
      <c r="J97" s="24" t="str">
        <f aca="false">IF($L97=0,"",DIARIO!$A93)</f>
        <v/>
      </c>
      <c r="K97" s="33" t="str">
        <f aca="false">IF($L97=0,"",DIARIO!$B93)</f>
        <v/>
      </c>
      <c r="L97" s="34" t="n">
        <f aca="false">IF(AND($S97="Sí",DIARIO!$F93=$B$2),N(DIARIO!$G93),0)</f>
        <v>0</v>
      </c>
      <c r="M97" s="36" t="str">
        <f aca="false">IF($L97=0,"",$U97)</f>
        <v/>
      </c>
      <c r="N97" s="37" t="str">
        <f aca="false">IF($L97=0,"",SUMPRODUCT($E$7:$E$106*((((($U97-($T$7:$T$106-$C$7:$C$106))+ABS(($U97-($T$7:$T$106-$C$7:$C$106))))/2)+$C$7:$C$106-ABS(((($U97-($T$7:$T$106-$C$7:$C$106))+ABS(($U97-($T$7:$T$106-$C$7:$C$106))))/2)-$C$7:$C$106))/2))-SUMPRODUCT($E$7:$E$106*(((((($U97-$L97)-($T$7:$T$106-$C$7:$C$106))+ABS((($U97-$L97)-($T$7:$T$106-$C$7:$C$106))))/2)+$C$7:$C$106-ABS((((($U97-$L97)-($T$7:$T$106-$C$7:$C$106))+ABS((($U97-$L97)-($T$7:$T$106-$C$7:$C$106))))/2)-$C$7:$C$106))/2)))</f>
        <v/>
      </c>
      <c r="O97" s="37" t="str">
        <f aca="false">IF($L97=0,"",N(DIARIO!$L93)-IF(DIARIO!$K93="EUR",N(DIARIO!$J93),0))</f>
        <v/>
      </c>
      <c r="P97" s="37" t="str">
        <f aca="false">IF($L97=0,"",$O97-$N97)</f>
        <v/>
      </c>
      <c r="R97" s="38" t="str">
        <f aca="false">IF(DIARIO!$C93="","",IFERROR(INDEX(PARÁMETROS!$D$5:$D$15,MATCH(DIARIO!$C93,PARÁMETROS!$A$5:$A$15,0)),""))</f>
        <v/>
      </c>
      <c r="S97" s="38" t="str">
        <f aca="false">IF(DIARIO!$C93="","",IFERROR(INDEX(PARÁMETROS!$E$5:$E$15,MATCH(DIARIO!$C93,PARÁMETROS!$A$5:$A$15,0)),""))</f>
        <v/>
      </c>
      <c r="T97" s="39" t="n">
        <f aca="false">SUM($C$7:$C97)</f>
        <v>0.55</v>
      </c>
      <c r="U97" s="39" t="n">
        <f aca="false">SUM($L$7:$L97)</f>
        <v>0</v>
      </c>
    </row>
    <row r="98" customFormat="false" ht="15" hidden="false" customHeight="false" outlineLevel="0" collapsed="false">
      <c r="A98" s="24" t="str">
        <f aca="false">IF($C98=0,"",DIARIO!$A94)</f>
        <v/>
      </c>
      <c r="B98" s="33" t="str">
        <f aca="false">IF($C98=0,"",DIARIO!$B94)</f>
        <v/>
      </c>
      <c r="C98" s="34" t="n">
        <f aca="false">IF(AND($R98="Sí",DIARIO!$H94=$B$2),N(DIARIO!$I94),0)</f>
        <v>0</v>
      </c>
      <c r="D98" s="35" t="n">
        <f aca="false">IF($C98=0,0,N(DIARIO!$L94)+IF(DIARIO!$K94="EUR",N(DIARIO!$J94),0))</f>
        <v>0</v>
      </c>
      <c r="E98" s="35" t="n">
        <f aca="false">IF($C98=0,0,$D98/$C98)</f>
        <v>0</v>
      </c>
      <c r="F98" s="36" t="str">
        <f aca="false">IF($C98=0,"",$T98)</f>
        <v/>
      </c>
      <c r="G98" s="36" t="str">
        <f aca="false">IF($C98=0,"",MAX(0,MIN($C98,$E$4-($T98-$C98))))</f>
        <v/>
      </c>
      <c r="H98" s="36" t="str">
        <f aca="false">IF($C98=0,"",$C98-$G98)</f>
        <v/>
      </c>
      <c r="J98" s="24" t="str">
        <f aca="false">IF($L98=0,"",DIARIO!$A94)</f>
        <v/>
      </c>
      <c r="K98" s="33" t="str">
        <f aca="false">IF($L98=0,"",DIARIO!$B94)</f>
        <v/>
      </c>
      <c r="L98" s="34" t="n">
        <f aca="false">IF(AND($S98="Sí",DIARIO!$F94=$B$2),N(DIARIO!$G94),0)</f>
        <v>0</v>
      </c>
      <c r="M98" s="36" t="str">
        <f aca="false">IF($L98=0,"",$U98)</f>
        <v/>
      </c>
      <c r="N98" s="37" t="str">
        <f aca="false">IF($L98=0,"",SUMPRODUCT($E$7:$E$106*((((($U98-($T$7:$T$106-$C$7:$C$106))+ABS(($U98-($T$7:$T$106-$C$7:$C$106))))/2)+$C$7:$C$106-ABS(((($U98-($T$7:$T$106-$C$7:$C$106))+ABS(($U98-($T$7:$T$106-$C$7:$C$106))))/2)-$C$7:$C$106))/2))-SUMPRODUCT($E$7:$E$106*(((((($U98-$L98)-($T$7:$T$106-$C$7:$C$106))+ABS((($U98-$L98)-($T$7:$T$106-$C$7:$C$106))))/2)+$C$7:$C$106-ABS((((($U98-$L98)-($T$7:$T$106-$C$7:$C$106))+ABS((($U98-$L98)-($T$7:$T$106-$C$7:$C$106))))/2)-$C$7:$C$106))/2)))</f>
        <v/>
      </c>
      <c r="O98" s="37" t="str">
        <f aca="false">IF($L98=0,"",N(DIARIO!$L94)-IF(DIARIO!$K94="EUR",N(DIARIO!$J94),0))</f>
        <v/>
      </c>
      <c r="P98" s="37" t="str">
        <f aca="false">IF($L98=0,"",$O98-$N98)</f>
        <v/>
      </c>
      <c r="R98" s="38" t="str">
        <f aca="false">IF(DIARIO!$C94="","",IFERROR(INDEX(PARÁMETROS!$D$5:$D$15,MATCH(DIARIO!$C94,PARÁMETROS!$A$5:$A$15,0)),""))</f>
        <v/>
      </c>
      <c r="S98" s="38" t="str">
        <f aca="false">IF(DIARIO!$C94="","",IFERROR(INDEX(PARÁMETROS!$E$5:$E$15,MATCH(DIARIO!$C94,PARÁMETROS!$A$5:$A$15,0)),""))</f>
        <v/>
      </c>
      <c r="T98" s="39" t="n">
        <f aca="false">SUM($C$7:$C98)</f>
        <v>0.55</v>
      </c>
      <c r="U98" s="39" t="n">
        <f aca="false">SUM($L$7:$L98)</f>
        <v>0</v>
      </c>
    </row>
    <row r="99" customFormat="false" ht="15" hidden="false" customHeight="false" outlineLevel="0" collapsed="false">
      <c r="A99" s="24" t="str">
        <f aca="false">IF($C99=0,"",DIARIO!$A95)</f>
        <v/>
      </c>
      <c r="B99" s="33" t="str">
        <f aca="false">IF($C99=0,"",DIARIO!$B95)</f>
        <v/>
      </c>
      <c r="C99" s="34" t="n">
        <f aca="false">IF(AND($R99="Sí",DIARIO!$H95=$B$2),N(DIARIO!$I95),0)</f>
        <v>0</v>
      </c>
      <c r="D99" s="35" t="n">
        <f aca="false">IF($C99=0,0,N(DIARIO!$L95)+IF(DIARIO!$K95="EUR",N(DIARIO!$J95),0))</f>
        <v>0</v>
      </c>
      <c r="E99" s="35" t="n">
        <f aca="false">IF($C99=0,0,$D99/$C99)</f>
        <v>0</v>
      </c>
      <c r="F99" s="36" t="str">
        <f aca="false">IF($C99=0,"",$T99)</f>
        <v/>
      </c>
      <c r="G99" s="36" t="str">
        <f aca="false">IF($C99=0,"",MAX(0,MIN($C99,$E$4-($T99-$C99))))</f>
        <v/>
      </c>
      <c r="H99" s="36" t="str">
        <f aca="false">IF($C99=0,"",$C99-$G99)</f>
        <v/>
      </c>
      <c r="J99" s="24" t="str">
        <f aca="false">IF($L99=0,"",DIARIO!$A95)</f>
        <v/>
      </c>
      <c r="K99" s="33" t="str">
        <f aca="false">IF($L99=0,"",DIARIO!$B95)</f>
        <v/>
      </c>
      <c r="L99" s="34" t="n">
        <f aca="false">IF(AND($S99="Sí",DIARIO!$F95=$B$2),N(DIARIO!$G95),0)</f>
        <v>0</v>
      </c>
      <c r="M99" s="36" t="str">
        <f aca="false">IF($L99=0,"",$U99)</f>
        <v/>
      </c>
      <c r="N99" s="37" t="str">
        <f aca="false">IF($L99=0,"",SUMPRODUCT($E$7:$E$106*((((($U99-($T$7:$T$106-$C$7:$C$106))+ABS(($U99-($T$7:$T$106-$C$7:$C$106))))/2)+$C$7:$C$106-ABS(((($U99-($T$7:$T$106-$C$7:$C$106))+ABS(($U99-($T$7:$T$106-$C$7:$C$106))))/2)-$C$7:$C$106))/2))-SUMPRODUCT($E$7:$E$106*(((((($U99-$L99)-($T$7:$T$106-$C$7:$C$106))+ABS((($U99-$L99)-($T$7:$T$106-$C$7:$C$106))))/2)+$C$7:$C$106-ABS((((($U99-$L99)-($T$7:$T$106-$C$7:$C$106))+ABS((($U99-$L99)-($T$7:$T$106-$C$7:$C$106))))/2)-$C$7:$C$106))/2)))</f>
        <v/>
      </c>
      <c r="O99" s="37" t="str">
        <f aca="false">IF($L99=0,"",N(DIARIO!$L95)-IF(DIARIO!$K95="EUR",N(DIARIO!$J95),0))</f>
        <v/>
      </c>
      <c r="P99" s="37" t="str">
        <f aca="false">IF($L99=0,"",$O99-$N99)</f>
        <v/>
      </c>
      <c r="R99" s="38" t="str">
        <f aca="false">IF(DIARIO!$C95="","",IFERROR(INDEX(PARÁMETROS!$D$5:$D$15,MATCH(DIARIO!$C95,PARÁMETROS!$A$5:$A$15,0)),""))</f>
        <v/>
      </c>
      <c r="S99" s="38" t="str">
        <f aca="false">IF(DIARIO!$C95="","",IFERROR(INDEX(PARÁMETROS!$E$5:$E$15,MATCH(DIARIO!$C95,PARÁMETROS!$A$5:$A$15,0)),""))</f>
        <v/>
      </c>
      <c r="T99" s="39" t="n">
        <f aca="false">SUM($C$7:$C99)</f>
        <v>0.55</v>
      </c>
      <c r="U99" s="39" t="n">
        <f aca="false">SUM($L$7:$L99)</f>
        <v>0</v>
      </c>
    </row>
    <row r="100" customFormat="false" ht="15" hidden="false" customHeight="false" outlineLevel="0" collapsed="false">
      <c r="A100" s="24" t="str">
        <f aca="false">IF($C100=0,"",DIARIO!$A96)</f>
        <v/>
      </c>
      <c r="B100" s="33" t="str">
        <f aca="false">IF($C100=0,"",DIARIO!$B96)</f>
        <v/>
      </c>
      <c r="C100" s="34" t="n">
        <f aca="false">IF(AND($R100="Sí",DIARIO!$H96=$B$2),N(DIARIO!$I96),0)</f>
        <v>0</v>
      </c>
      <c r="D100" s="35" t="n">
        <f aca="false">IF($C100=0,0,N(DIARIO!$L96)+IF(DIARIO!$K96="EUR",N(DIARIO!$J96),0))</f>
        <v>0</v>
      </c>
      <c r="E100" s="35" t="n">
        <f aca="false">IF($C100=0,0,$D100/$C100)</f>
        <v>0</v>
      </c>
      <c r="F100" s="36" t="str">
        <f aca="false">IF($C100=0,"",$T100)</f>
        <v/>
      </c>
      <c r="G100" s="36" t="str">
        <f aca="false">IF($C100=0,"",MAX(0,MIN($C100,$E$4-($T100-$C100))))</f>
        <v/>
      </c>
      <c r="H100" s="36" t="str">
        <f aca="false">IF($C100=0,"",$C100-$G100)</f>
        <v/>
      </c>
      <c r="J100" s="24" t="str">
        <f aca="false">IF($L100=0,"",DIARIO!$A96)</f>
        <v/>
      </c>
      <c r="K100" s="33" t="str">
        <f aca="false">IF($L100=0,"",DIARIO!$B96)</f>
        <v/>
      </c>
      <c r="L100" s="34" t="n">
        <f aca="false">IF(AND($S100="Sí",DIARIO!$F96=$B$2),N(DIARIO!$G96),0)</f>
        <v>0</v>
      </c>
      <c r="M100" s="36" t="str">
        <f aca="false">IF($L100=0,"",$U100)</f>
        <v/>
      </c>
      <c r="N100" s="37" t="str">
        <f aca="false">IF($L100=0,"",SUMPRODUCT($E$7:$E$106*((((($U100-($T$7:$T$106-$C$7:$C$106))+ABS(($U100-($T$7:$T$106-$C$7:$C$106))))/2)+$C$7:$C$106-ABS(((($U100-($T$7:$T$106-$C$7:$C$106))+ABS(($U100-($T$7:$T$106-$C$7:$C$106))))/2)-$C$7:$C$106))/2))-SUMPRODUCT($E$7:$E$106*(((((($U100-$L100)-($T$7:$T$106-$C$7:$C$106))+ABS((($U100-$L100)-($T$7:$T$106-$C$7:$C$106))))/2)+$C$7:$C$106-ABS((((($U100-$L100)-($T$7:$T$106-$C$7:$C$106))+ABS((($U100-$L100)-($T$7:$T$106-$C$7:$C$106))))/2)-$C$7:$C$106))/2)))</f>
        <v/>
      </c>
      <c r="O100" s="37" t="str">
        <f aca="false">IF($L100=0,"",N(DIARIO!$L96)-IF(DIARIO!$K96="EUR",N(DIARIO!$J96),0))</f>
        <v/>
      </c>
      <c r="P100" s="37" t="str">
        <f aca="false">IF($L100=0,"",$O100-$N100)</f>
        <v/>
      </c>
      <c r="R100" s="38" t="str">
        <f aca="false">IF(DIARIO!$C96="","",IFERROR(INDEX(PARÁMETROS!$D$5:$D$15,MATCH(DIARIO!$C96,PARÁMETROS!$A$5:$A$15,0)),""))</f>
        <v/>
      </c>
      <c r="S100" s="38" t="str">
        <f aca="false">IF(DIARIO!$C96="","",IFERROR(INDEX(PARÁMETROS!$E$5:$E$15,MATCH(DIARIO!$C96,PARÁMETROS!$A$5:$A$15,0)),""))</f>
        <v/>
      </c>
      <c r="T100" s="39" t="n">
        <f aca="false">SUM($C$7:$C100)</f>
        <v>0.55</v>
      </c>
      <c r="U100" s="39" t="n">
        <f aca="false">SUM($L$7:$L100)</f>
        <v>0</v>
      </c>
    </row>
    <row r="101" customFormat="false" ht="15" hidden="false" customHeight="false" outlineLevel="0" collapsed="false">
      <c r="A101" s="24" t="str">
        <f aca="false">IF($C101=0,"",DIARIO!$A97)</f>
        <v/>
      </c>
      <c r="B101" s="33" t="str">
        <f aca="false">IF($C101=0,"",DIARIO!$B97)</f>
        <v/>
      </c>
      <c r="C101" s="34" t="n">
        <f aca="false">IF(AND($R101="Sí",DIARIO!$H97=$B$2),N(DIARIO!$I97),0)</f>
        <v>0</v>
      </c>
      <c r="D101" s="35" t="n">
        <f aca="false">IF($C101=0,0,N(DIARIO!$L97)+IF(DIARIO!$K97="EUR",N(DIARIO!$J97),0))</f>
        <v>0</v>
      </c>
      <c r="E101" s="35" t="n">
        <f aca="false">IF($C101=0,0,$D101/$C101)</f>
        <v>0</v>
      </c>
      <c r="F101" s="36" t="str">
        <f aca="false">IF($C101=0,"",$T101)</f>
        <v/>
      </c>
      <c r="G101" s="36" t="str">
        <f aca="false">IF($C101=0,"",MAX(0,MIN($C101,$E$4-($T101-$C101))))</f>
        <v/>
      </c>
      <c r="H101" s="36" t="str">
        <f aca="false">IF($C101=0,"",$C101-$G101)</f>
        <v/>
      </c>
      <c r="J101" s="24" t="str">
        <f aca="false">IF($L101=0,"",DIARIO!$A97)</f>
        <v/>
      </c>
      <c r="K101" s="33" t="str">
        <f aca="false">IF($L101=0,"",DIARIO!$B97)</f>
        <v/>
      </c>
      <c r="L101" s="34" t="n">
        <f aca="false">IF(AND($S101="Sí",DIARIO!$F97=$B$2),N(DIARIO!$G97),0)</f>
        <v>0</v>
      </c>
      <c r="M101" s="36" t="str">
        <f aca="false">IF($L101=0,"",$U101)</f>
        <v/>
      </c>
      <c r="N101" s="37" t="str">
        <f aca="false">IF($L101=0,"",SUMPRODUCT($E$7:$E$106*((((($U101-($T$7:$T$106-$C$7:$C$106))+ABS(($U101-($T$7:$T$106-$C$7:$C$106))))/2)+$C$7:$C$106-ABS(((($U101-($T$7:$T$106-$C$7:$C$106))+ABS(($U101-($T$7:$T$106-$C$7:$C$106))))/2)-$C$7:$C$106))/2))-SUMPRODUCT($E$7:$E$106*(((((($U101-$L101)-($T$7:$T$106-$C$7:$C$106))+ABS((($U101-$L101)-($T$7:$T$106-$C$7:$C$106))))/2)+$C$7:$C$106-ABS((((($U101-$L101)-($T$7:$T$106-$C$7:$C$106))+ABS((($U101-$L101)-($T$7:$T$106-$C$7:$C$106))))/2)-$C$7:$C$106))/2)))</f>
        <v/>
      </c>
      <c r="O101" s="37" t="str">
        <f aca="false">IF($L101=0,"",N(DIARIO!$L97)-IF(DIARIO!$K97="EUR",N(DIARIO!$J97),0))</f>
        <v/>
      </c>
      <c r="P101" s="37" t="str">
        <f aca="false">IF($L101=0,"",$O101-$N101)</f>
        <v/>
      </c>
      <c r="R101" s="38" t="str">
        <f aca="false">IF(DIARIO!$C97="","",IFERROR(INDEX(PARÁMETROS!$D$5:$D$15,MATCH(DIARIO!$C97,PARÁMETROS!$A$5:$A$15,0)),""))</f>
        <v/>
      </c>
      <c r="S101" s="38" t="str">
        <f aca="false">IF(DIARIO!$C97="","",IFERROR(INDEX(PARÁMETROS!$E$5:$E$15,MATCH(DIARIO!$C97,PARÁMETROS!$A$5:$A$15,0)),""))</f>
        <v/>
      </c>
      <c r="T101" s="39" t="n">
        <f aca="false">SUM($C$7:$C101)</f>
        <v>0.55</v>
      </c>
      <c r="U101" s="39" t="n">
        <f aca="false">SUM($L$7:$L101)</f>
        <v>0</v>
      </c>
    </row>
    <row r="102" customFormat="false" ht="15" hidden="false" customHeight="false" outlineLevel="0" collapsed="false">
      <c r="A102" s="24" t="str">
        <f aca="false">IF($C102=0,"",DIARIO!$A98)</f>
        <v/>
      </c>
      <c r="B102" s="33" t="str">
        <f aca="false">IF($C102=0,"",DIARIO!$B98)</f>
        <v/>
      </c>
      <c r="C102" s="34" t="n">
        <f aca="false">IF(AND($R102="Sí",DIARIO!$H98=$B$2),N(DIARIO!$I98),0)</f>
        <v>0</v>
      </c>
      <c r="D102" s="35" t="n">
        <f aca="false">IF($C102=0,0,N(DIARIO!$L98)+IF(DIARIO!$K98="EUR",N(DIARIO!$J98),0))</f>
        <v>0</v>
      </c>
      <c r="E102" s="35" t="n">
        <f aca="false">IF($C102=0,0,$D102/$C102)</f>
        <v>0</v>
      </c>
      <c r="F102" s="36" t="str">
        <f aca="false">IF($C102=0,"",$T102)</f>
        <v/>
      </c>
      <c r="G102" s="36" t="str">
        <f aca="false">IF($C102=0,"",MAX(0,MIN($C102,$E$4-($T102-$C102))))</f>
        <v/>
      </c>
      <c r="H102" s="36" t="str">
        <f aca="false">IF($C102=0,"",$C102-$G102)</f>
        <v/>
      </c>
      <c r="J102" s="24" t="str">
        <f aca="false">IF($L102=0,"",DIARIO!$A98)</f>
        <v/>
      </c>
      <c r="K102" s="33" t="str">
        <f aca="false">IF($L102=0,"",DIARIO!$B98)</f>
        <v/>
      </c>
      <c r="L102" s="34" t="n">
        <f aca="false">IF(AND($S102="Sí",DIARIO!$F98=$B$2),N(DIARIO!$G98),0)</f>
        <v>0</v>
      </c>
      <c r="M102" s="36" t="str">
        <f aca="false">IF($L102=0,"",$U102)</f>
        <v/>
      </c>
      <c r="N102" s="37" t="str">
        <f aca="false">IF($L102=0,"",SUMPRODUCT($E$7:$E$106*((((($U102-($T$7:$T$106-$C$7:$C$106))+ABS(($U102-($T$7:$T$106-$C$7:$C$106))))/2)+$C$7:$C$106-ABS(((($U102-($T$7:$T$106-$C$7:$C$106))+ABS(($U102-($T$7:$T$106-$C$7:$C$106))))/2)-$C$7:$C$106))/2))-SUMPRODUCT($E$7:$E$106*(((((($U102-$L102)-($T$7:$T$106-$C$7:$C$106))+ABS((($U102-$L102)-($T$7:$T$106-$C$7:$C$106))))/2)+$C$7:$C$106-ABS((((($U102-$L102)-($T$7:$T$106-$C$7:$C$106))+ABS((($U102-$L102)-($T$7:$T$106-$C$7:$C$106))))/2)-$C$7:$C$106))/2)))</f>
        <v/>
      </c>
      <c r="O102" s="37" t="str">
        <f aca="false">IF($L102=0,"",N(DIARIO!$L98)-IF(DIARIO!$K98="EUR",N(DIARIO!$J98),0))</f>
        <v/>
      </c>
      <c r="P102" s="37" t="str">
        <f aca="false">IF($L102=0,"",$O102-$N102)</f>
        <v/>
      </c>
      <c r="R102" s="38" t="str">
        <f aca="false">IF(DIARIO!$C98="","",IFERROR(INDEX(PARÁMETROS!$D$5:$D$15,MATCH(DIARIO!$C98,PARÁMETROS!$A$5:$A$15,0)),""))</f>
        <v/>
      </c>
      <c r="S102" s="38" t="str">
        <f aca="false">IF(DIARIO!$C98="","",IFERROR(INDEX(PARÁMETROS!$E$5:$E$15,MATCH(DIARIO!$C98,PARÁMETROS!$A$5:$A$15,0)),""))</f>
        <v/>
      </c>
      <c r="T102" s="39" t="n">
        <f aca="false">SUM($C$7:$C102)</f>
        <v>0.55</v>
      </c>
      <c r="U102" s="39" t="n">
        <f aca="false">SUM($L$7:$L102)</f>
        <v>0</v>
      </c>
    </row>
    <row r="103" customFormat="false" ht="15" hidden="false" customHeight="false" outlineLevel="0" collapsed="false">
      <c r="A103" s="24" t="str">
        <f aca="false">IF($C103=0,"",DIARIO!$A99)</f>
        <v/>
      </c>
      <c r="B103" s="33" t="str">
        <f aca="false">IF($C103=0,"",DIARIO!$B99)</f>
        <v/>
      </c>
      <c r="C103" s="34" t="n">
        <f aca="false">IF(AND($R103="Sí",DIARIO!$H99=$B$2),N(DIARIO!$I99),0)</f>
        <v>0</v>
      </c>
      <c r="D103" s="35" t="n">
        <f aca="false">IF($C103=0,0,N(DIARIO!$L99)+IF(DIARIO!$K99="EUR",N(DIARIO!$J99),0))</f>
        <v>0</v>
      </c>
      <c r="E103" s="35" t="n">
        <f aca="false">IF($C103=0,0,$D103/$C103)</f>
        <v>0</v>
      </c>
      <c r="F103" s="36" t="str">
        <f aca="false">IF($C103=0,"",$T103)</f>
        <v/>
      </c>
      <c r="G103" s="36" t="str">
        <f aca="false">IF($C103=0,"",MAX(0,MIN($C103,$E$4-($T103-$C103))))</f>
        <v/>
      </c>
      <c r="H103" s="36" t="str">
        <f aca="false">IF($C103=0,"",$C103-$G103)</f>
        <v/>
      </c>
      <c r="J103" s="24" t="str">
        <f aca="false">IF($L103=0,"",DIARIO!$A99)</f>
        <v/>
      </c>
      <c r="K103" s="33" t="str">
        <f aca="false">IF($L103=0,"",DIARIO!$B99)</f>
        <v/>
      </c>
      <c r="L103" s="34" t="n">
        <f aca="false">IF(AND($S103="Sí",DIARIO!$F99=$B$2),N(DIARIO!$G99),0)</f>
        <v>0</v>
      </c>
      <c r="M103" s="36" t="str">
        <f aca="false">IF($L103=0,"",$U103)</f>
        <v/>
      </c>
      <c r="N103" s="37" t="str">
        <f aca="false">IF($L103=0,"",SUMPRODUCT($E$7:$E$106*((((($U103-($T$7:$T$106-$C$7:$C$106))+ABS(($U103-($T$7:$T$106-$C$7:$C$106))))/2)+$C$7:$C$106-ABS(((($U103-($T$7:$T$106-$C$7:$C$106))+ABS(($U103-($T$7:$T$106-$C$7:$C$106))))/2)-$C$7:$C$106))/2))-SUMPRODUCT($E$7:$E$106*(((((($U103-$L103)-($T$7:$T$106-$C$7:$C$106))+ABS((($U103-$L103)-($T$7:$T$106-$C$7:$C$106))))/2)+$C$7:$C$106-ABS((((($U103-$L103)-($T$7:$T$106-$C$7:$C$106))+ABS((($U103-$L103)-($T$7:$T$106-$C$7:$C$106))))/2)-$C$7:$C$106))/2)))</f>
        <v/>
      </c>
      <c r="O103" s="37" t="str">
        <f aca="false">IF($L103=0,"",N(DIARIO!$L99)-IF(DIARIO!$K99="EUR",N(DIARIO!$J99),0))</f>
        <v/>
      </c>
      <c r="P103" s="37" t="str">
        <f aca="false">IF($L103=0,"",$O103-$N103)</f>
        <v/>
      </c>
      <c r="R103" s="38" t="str">
        <f aca="false">IF(DIARIO!$C99="","",IFERROR(INDEX(PARÁMETROS!$D$5:$D$15,MATCH(DIARIO!$C99,PARÁMETROS!$A$5:$A$15,0)),""))</f>
        <v/>
      </c>
      <c r="S103" s="38" t="str">
        <f aca="false">IF(DIARIO!$C99="","",IFERROR(INDEX(PARÁMETROS!$E$5:$E$15,MATCH(DIARIO!$C99,PARÁMETROS!$A$5:$A$15,0)),""))</f>
        <v/>
      </c>
      <c r="T103" s="39" t="n">
        <f aca="false">SUM($C$7:$C103)</f>
        <v>0.55</v>
      </c>
      <c r="U103" s="39" t="n">
        <f aca="false">SUM($L$7:$L103)</f>
        <v>0</v>
      </c>
    </row>
    <row r="104" customFormat="false" ht="15" hidden="false" customHeight="false" outlineLevel="0" collapsed="false">
      <c r="A104" s="24" t="str">
        <f aca="false">IF($C104=0,"",DIARIO!$A100)</f>
        <v/>
      </c>
      <c r="B104" s="33" t="str">
        <f aca="false">IF($C104=0,"",DIARIO!$B100)</f>
        <v/>
      </c>
      <c r="C104" s="34" t="n">
        <f aca="false">IF(AND($R104="Sí",DIARIO!$H100=$B$2),N(DIARIO!$I100),0)</f>
        <v>0</v>
      </c>
      <c r="D104" s="35" t="n">
        <f aca="false">IF($C104=0,0,N(DIARIO!$L100)+IF(DIARIO!$K100="EUR",N(DIARIO!$J100),0))</f>
        <v>0</v>
      </c>
      <c r="E104" s="35" t="n">
        <f aca="false">IF($C104=0,0,$D104/$C104)</f>
        <v>0</v>
      </c>
      <c r="F104" s="36" t="str">
        <f aca="false">IF($C104=0,"",$T104)</f>
        <v/>
      </c>
      <c r="G104" s="36" t="str">
        <f aca="false">IF($C104=0,"",MAX(0,MIN($C104,$E$4-($T104-$C104))))</f>
        <v/>
      </c>
      <c r="H104" s="36" t="str">
        <f aca="false">IF($C104=0,"",$C104-$G104)</f>
        <v/>
      </c>
      <c r="J104" s="24" t="str">
        <f aca="false">IF($L104=0,"",DIARIO!$A100)</f>
        <v/>
      </c>
      <c r="K104" s="33" t="str">
        <f aca="false">IF($L104=0,"",DIARIO!$B100)</f>
        <v/>
      </c>
      <c r="L104" s="34" t="n">
        <f aca="false">IF(AND($S104="Sí",DIARIO!$F100=$B$2),N(DIARIO!$G100),0)</f>
        <v>0</v>
      </c>
      <c r="M104" s="36" t="str">
        <f aca="false">IF($L104=0,"",$U104)</f>
        <v/>
      </c>
      <c r="N104" s="37" t="str">
        <f aca="false">IF($L104=0,"",SUMPRODUCT($E$7:$E$106*((((($U104-($T$7:$T$106-$C$7:$C$106))+ABS(($U104-($T$7:$T$106-$C$7:$C$106))))/2)+$C$7:$C$106-ABS(((($U104-($T$7:$T$106-$C$7:$C$106))+ABS(($U104-($T$7:$T$106-$C$7:$C$106))))/2)-$C$7:$C$106))/2))-SUMPRODUCT($E$7:$E$106*(((((($U104-$L104)-($T$7:$T$106-$C$7:$C$106))+ABS((($U104-$L104)-($T$7:$T$106-$C$7:$C$106))))/2)+$C$7:$C$106-ABS((((($U104-$L104)-($T$7:$T$106-$C$7:$C$106))+ABS((($U104-$L104)-($T$7:$T$106-$C$7:$C$106))))/2)-$C$7:$C$106))/2)))</f>
        <v/>
      </c>
      <c r="O104" s="37" t="str">
        <f aca="false">IF($L104=0,"",N(DIARIO!$L100)-IF(DIARIO!$K100="EUR",N(DIARIO!$J100),0))</f>
        <v/>
      </c>
      <c r="P104" s="37" t="str">
        <f aca="false">IF($L104=0,"",$O104-$N104)</f>
        <v/>
      </c>
      <c r="R104" s="38" t="str">
        <f aca="false">IF(DIARIO!$C100="","",IFERROR(INDEX(PARÁMETROS!$D$5:$D$15,MATCH(DIARIO!$C100,PARÁMETROS!$A$5:$A$15,0)),""))</f>
        <v/>
      </c>
      <c r="S104" s="38" t="str">
        <f aca="false">IF(DIARIO!$C100="","",IFERROR(INDEX(PARÁMETROS!$E$5:$E$15,MATCH(DIARIO!$C100,PARÁMETROS!$A$5:$A$15,0)),""))</f>
        <v/>
      </c>
      <c r="T104" s="39" t="n">
        <f aca="false">SUM($C$7:$C104)</f>
        <v>0.55</v>
      </c>
      <c r="U104" s="39" t="n">
        <f aca="false">SUM($L$7:$L104)</f>
        <v>0</v>
      </c>
    </row>
    <row r="105" customFormat="false" ht="15" hidden="false" customHeight="false" outlineLevel="0" collapsed="false">
      <c r="A105" s="24" t="str">
        <f aca="false">IF($C105=0,"",DIARIO!$A101)</f>
        <v/>
      </c>
      <c r="B105" s="33" t="str">
        <f aca="false">IF($C105=0,"",DIARIO!$B101)</f>
        <v/>
      </c>
      <c r="C105" s="34" t="n">
        <f aca="false">IF(AND($R105="Sí",DIARIO!$H101=$B$2),N(DIARIO!$I101),0)</f>
        <v>0</v>
      </c>
      <c r="D105" s="35" t="n">
        <f aca="false">IF($C105=0,0,N(DIARIO!$L101)+IF(DIARIO!$K101="EUR",N(DIARIO!$J101),0))</f>
        <v>0</v>
      </c>
      <c r="E105" s="35" t="n">
        <f aca="false">IF($C105=0,0,$D105/$C105)</f>
        <v>0</v>
      </c>
      <c r="F105" s="36" t="str">
        <f aca="false">IF($C105=0,"",$T105)</f>
        <v/>
      </c>
      <c r="G105" s="36" t="str">
        <f aca="false">IF($C105=0,"",MAX(0,MIN($C105,$E$4-($T105-$C105))))</f>
        <v/>
      </c>
      <c r="H105" s="36" t="str">
        <f aca="false">IF($C105=0,"",$C105-$G105)</f>
        <v/>
      </c>
      <c r="J105" s="24" t="str">
        <f aca="false">IF($L105=0,"",DIARIO!$A101)</f>
        <v/>
      </c>
      <c r="K105" s="33" t="str">
        <f aca="false">IF($L105=0,"",DIARIO!$B101)</f>
        <v/>
      </c>
      <c r="L105" s="34" t="n">
        <f aca="false">IF(AND($S105="Sí",DIARIO!$F101=$B$2),N(DIARIO!$G101),0)</f>
        <v>0</v>
      </c>
      <c r="M105" s="36" t="str">
        <f aca="false">IF($L105=0,"",$U105)</f>
        <v/>
      </c>
      <c r="N105" s="37" t="str">
        <f aca="false">IF($L105=0,"",SUMPRODUCT($E$7:$E$106*((((($U105-($T$7:$T$106-$C$7:$C$106))+ABS(($U105-($T$7:$T$106-$C$7:$C$106))))/2)+$C$7:$C$106-ABS(((($U105-($T$7:$T$106-$C$7:$C$106))+ABS(($U105-($T$7:$T$106-$C$7:$C$106))))/2)-$C$7:$C$106))/2))-SUMPRODUCT($E$7:$E$106*(((((($U105-$L105)-($T$7:$T$106-$C$7:$C$106))+ABS((($U105-$L105)-($T$7:$T$106-$C$7:$C$106))))/2)+$C$7:$C$106-ABS((((($U105-$L105)-($T$7:$T$106-$C$7:$C$106))+ABS((($U105-$L105)-($T$7:$T$106-$C$7:$C$106))))/2)-$C$7:$C$106))/2)))</f>
        <v/>
      </c>
      <c r="O105" s="37" t="str">
        <f aca="false">IF($L105=0,"",N(DIARIO!$L101)-IF(DIARIO!$K101="EUR",N(DIARIO!$J101),0))</f>
        <v/>
      </c>
      <c r="P105" s="37" t="str">
        <f aca="false">IF($L105=0,"",$O105-$N105)</f>
        <v/>
      </c>
      <c r="R105" s="38" t="str">
        <f aca="false">IF(DIARIO!$C101="","",IFERROR(INDEX(PARÁMETROS!$D$5:$D$15,MATCH(DIARIO!$C101,PARÁMETROS!$A$5:$A$15,0)),""))</f>
        <v/>
      </c>
      <c r="S105" s="38" t="str">
        <f aca="false">IF(DIARIO!$C101="","",IFERROR(INDEX(PARÁMETROS!$E$5:$E$15,MATCH(DIARIO!$C101,PARÁMETROS!$A$5:$A$15,0)),""))</f>
        <v/>
      </c>
      <c r="T105" s="39" t="n">
        <f aca="false">SUM($C$7:$C105)</f>
        <v>0.55</v>
      </c>
      <c r="U105" s="39" t="n">
        <f aca="false">SUM($L$7:$L105)</f>
        <v>0</v>
      </c>
    </row>
    <row r="106" customFormat="false" ht="15" hidden="false" customHeight="false" outlineLevel="0" collapsed="false">
      <c r="A106" s="24" t="str">
        <f aca="false">IF($C106=0,"",DIARIO!$A102)</f>
        <v/>
      </c>
      <c r="B106" s="33" t="str">
        <f aca="false">IF($C106=0,"",DIARIO!$B102)</f>
        <v/>
      </c>
      <c r="C106" s="34" t="n">
        <f aca="false">IF(AND($R106="Sí",DIARIO!$H102=$B$2),N(DIARIO!$I102),0)</f>
        <v>0</v>
      </c>
      <c r="D106" s="35" t="n">
        <f aca="false">IF($C106=0,0,N(DIARIO!$L102)+IF(DIARIO!$K102="EUR",N(DIARIO!$J102),0))</f>
        <v>0</v>
      </c>
      <c r="E106" s="35" t="n">
        <f aca="false">IF($C106=0,0,$D106/$C106)</f>
        <v>0</v>
      </c>
      <c r="F106" s="36" t="str">
        <f aca="false">IF($C106=0,"",$T106)</f>
        <v/>
      </c>
      <c r="G106" s="36" t="str">
        <f aca="false">IF($C106=0,"",MAX(0,MIN($C106,$E$4-($T106-$C106))))</f>
        <v/>
      </c>
      <c r="H106" s="36" t="str">
        <f aca="false">IF($C106=0,"",$C106-$G106)</f>
        <v/>
      </c>
      <c r="J106" s="24" t="str">
        <f aca="false">IF($L106=0,"",DIARIO!$A102)</f>
        <v/>
      </c>
      <c r="K106" s="33" t="str">
        <f aca="false">IF($L106=0,"",DIARIO!$B102)</f>
        <v/>
      </c>
      <c r="L106" s="34" t="n">
        <f aca="false">IF(AND($S106="Sí",DIARIO!$F102=$B$2),N(DIARIO!$G102),0)</f>
        <v>0</v>
      </c>
      <c r="M106" s="36" t="str">
        <f aca="false">IF($L106=0,"",$U106)</f>
        <v/>
      </c>
      <c r="N106" s="37" t="str">
        <f aca="false">IF($L106=0,"",SUMPRODUCT($E$7:$E$106*((((($U106-($T$7:$T$106-$C$7:$C$106))+ABS(($U106-($T$7:$T$106-$C$7:$C$106))))/2)+$C$7:$C$106-ABS(((($U106-($T$7:$T$106-$C$7:$C$106))+ABS(($U106-($T$7:$T$106-$C$7:$C$106))))/2)-$C$7:$C$106))/2))-SUMPRODUCT($E$7:$E$106*(((((($U106-$L106)-($T$7:$T$106-$C$7:$C$106))+ABS((($U106-$L106)-($T$7:$T$106-$C$7:$C$106))))/2)+$C$7:$C$106-ABS((((($U106-$L106)-($T$7:$T$106-$C$7:$C$106))+ABS((($U106-$L106)-($T$7:$T$106-$C$7:$C$106))))/2)-$C$7:$C$106))/2)))</f>
        <v/>
      </c>
      <c r="O106" s="37" t="str">
        <f aca="false">IF($L106=0,"",N(DIARIO!$L102)-IF(DIARIO!$K102="EUR",N(DIARIO!$J102),0))</f>
        <v/>
      </c>
      <c r="P106" s="37" t="str">
        <f aca="false">IF($L106=0,"",$O106-$N106)</f>
        <v/>
      </c>
      <c r="R106" s="38" t="str">
        <f aca="false">IF(DIARIO!$C102="","",IFERROR(INDEX(PARÁMETROS!$D$5:$D$15,MATCH(DIARIO!$C102,PARÁMETROS!$A$5:$A$15,0)),""))</f>
        <v/>
      </c>
      <c r="S106" s="38" t="str">
        <f aca="false">IF(DIARIO!$C102="","",IFERROR(INDEX(PARÁMETROS!$E$5:$E$15,MATCH(DIARIO!$C102,PARÁMETROS!$A$5:$A$15,0)),""))</f>
        <v/>
      </c>
      <c r="T106" s="39" t="n">
        <f aca="false">SUM($C$7:$C106)</f>
        <v>0.55</v>
      </c>
      <c r="U106" s="39" t="n">
        <f aca="false">SUM($L$7:$L106)</f>
        <v>0</v>
      </c>
    </row>
  </sheetData>
  <mergeCells count="4">
    <mergeCell ref="A1:P1"/>
    <mergeCell ref="A5:H5"/>
    <mergeCell ref="J5:P5"/>
    <mergeCell ref="R5:U5"/>
  </mergeCells>
  <dataValidations count="1">
    <dataValidation allowBlank="true" errorStyle="warning" operator="between" showDropDown="false" showErrorMessage="false" showInputMessage="false" sqref="B2" type="list">
      <formula1>PARÁMETROS!$A$20:$A$24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G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0"/>
    <col collapsed="false" customWidth="true" hidden="false" outlineLevel="0" max="3" min="3" style="0" width="17"/>
    <col collapsed="false" customWidth="true" hidden="false" outlineLevel="0" max="4" min="4" style="0" width="19"/>
    <col collapsed="false" customWidth="true" hidden="false" outlineLevel="0" max="5" min="5" style="0" width="15"/>
    <col collapsed="false" customWidth="true" hidden="false" outlineLevel="0" max="6" min="6" style="0" width="12"/>
    <col collapsed="false" customWidth="true" hidden="false" outlineLevel="0" max="7" min="7" style="0" width="55"/>
  </cols>
  <sheetData>
    <row r="1" customFormat="false" ht="24" hidden="false" customHeight="true" outlineLevel="0" collapsed="false">
      <c r="A1" s="1" t="s">
        <v>178</v>
      </c>
      <c r="B1" s="1"/>
      <c r="C1" s="1"/>
      <c r="D1" s="1"/>
      <c r="E1" s="1"/>
      <c r="F1" s="1"/>
      <c r="G1" s="1"/>
    </row>
    <row r="2" customFormat="false" ht="15" hidden="false" customHeight="false" outlineLevel="0" collapsed="false">
      <c r="A2" s="20" t="s">
        <v>179</v>
      </c>
      <c r="B2" s="40" t="n">
        <f aca="false">SALDOS!$B$2</f>
        <v>46387</v>
      </c>
      <c r="C2" s="11" t="s">
        <v>180</v>
      </c>
    </row>
    <row r="3" customFormat="false" ht="15" hidden="false" customHeight="false" outlineLevel="0" collapsed="false">
      <c r="A3" s="12" t="s">
        <v>147</v>
      </c>
      <c r="B3" s="12" t="s">
        <v>43</v>
      </c>
      <c r="C3" s="12" t="s">
        <v>181</v>
      </c>
      <c r="D3" s="12" t="s">
        <v>182</v>
      </c>
      <c r="E3" s="12" t="s">
        <v>183</v>
      </c>
      <c r="F3" s="12" t="s">
        <v>184</v>
      </c>
      <c r="G3" s="12" t="s">
        <v>69</v>
      </c>
    </row>
    <row r="4" customFormat="false" ht="15" hidden="false" customHeight="false" outlineLevel="0" collapsed="false">
      <c r="A4" s="24" t="str">
        <f aca="false">IF(SALDOS!A5="","",SALDOS!A5)</f>
        <v>Exchange-A</v>
      </c>
      <c r="B4" s="24" t="str">
        <f aca="false">IF(SALDOS!A5="","",SALDOS!B5)</f>
        <v>BTC</v>
      </c>
      <c r="C4" s="25" t="n">
        <f aca="false">IF($A4="","",SALDOS!F5)</f>
        <v>0.2498</v>
      </c>
      <c r="D4" s="41" t="n">
        <v>0.2498</v>
      </c>
      <c r="E4" s="25" t="n">
        <f aca="false">IF(OR($A4="",$D4=""),"",$D4-$C4)</f>
        <v>0</v>
      </c>
      <c r="F4" s="42" t="str">
        <f aca="false">IF(OR($A4="",$D4=""),"",IF(ABS($E4)&lt;=PARÁMETROS!$B$32,"OK",IF(ABS($E4)&lt;=PARÁMETROS!$B$33,"REVISAR","ERROR")))</f>
        <v>OK</v>
      </c>
      <c r="G4" s="43" t="s">
        <v>73</v>
      </c>
    </row>
    <row r="5" customFormat="false" ht="15" hidden="false" customHeight="false" outlineLevel="0" collapsed="false">
      <c r="A5" s="24" t="str">
        <f aca="false">IF(SALDOS!A6="","",SALDOS!A6)</f>
        <v>Exchange-A</v>
      </c>
      <c r="B5" s="24" t="str">
        <f aca="false">IF(SALDOS!A6="","",SALDOS!B6)</f>
        <v>EUR</v>
      </c>
      <c r="C5" s="25" t="n">
        <f aca="false">IF($A5="","",SALDOS!F6)</f>
        <v>-20030</v>
      </c>
      <c r="D5" s="41"/>
      <c r="E5" s="25" t="str">
        <f aca="false">IF(OR($A5="",$D5=""),"",$D5-$C5)</f>
        <v/>
      </c>
      <c r="F5" s="42" t="str">
        <f aca="false">IF(OR($A5="",$D5=""),"",IF(ABS($E5)&lt;=PARÁMETROS!$B$32,"OK",IF(ABS($E5)&lt;=PARÁMETROS!$B$33,"REVISAR","ERROR")))</f>
        <v/>
      </c>
      <c r="G5" s="24"/>
    </row>
    <row r="6" customFormat="false" ht="15" hidden="false" customHeight="false" outlineLevel="0" collapsed="false">
      <c r="A6" s="24" t="str">
        <f aca="false">IF(SALDOS!A7="","",SALDOS!A7)</f>
        <v/>
      </c>
      <c r="B6" s="24" t="str">
        <f aca="false">IF(SALDOS!A7="","",SALDOS!B7)</f>
        <v/>
      </c>
      <c r="C6" s="25" t="str">
        <f aca="false">IF($A6="","",SALDOS!F7)</f>
        <v/>
      </c>
      <c r="D6" s="41"/>
      <c r="E6" s="25" t="str">
        <f aca="false">IF(OR($A6="",$D6=""),"",$D6-$C6)</f>
        <v/>
      </c>
      <c r="F6" s="42" t="str">
        <f aca="false">IF(OR($A6="",$D6=""),"",IF(ABS($E6)&lt;=PARÁMETROS!$B$32,"OK",IF(ABS($E6)&lt;=PARÁMETROS!$B$33,"REVISAR","ERROR")))</f>
        <v/>
      </c>
      <c r="G6" s="24"/>
    </row>
    <row r="7" customFormat="false" ht="15" hidden="false" customHeight="false" outlineLevel="0" collapsed="false">
      <c r="A7" s="24" t="str">
        <f aca="false">IF(SALDOS!A8="","",SALDOS!A8)</f>
        <v/>
      </c>
      <c r="B7" s="24" t="str">
        <f aca="false">IF(SALDOS!A8="","",SALDOS!B8)</f>
        <v/>
      </c>
      <c r="C7" s="25" t="str">
        <f aca="false">IF($A7="","",SALDOS!F8)</f>
        <v/>
      </c>
      <c r="D7" s="41"/>
      <c r="E7" s="25" t="str">
        <f aca="false">IF(OR($A7="",$D7=""),"",$D7-$C7)</f>
        <v/>
      </c>
      <c r="F7" s="42" t="str">
        <f aca="false">IF(OR($A7="",$D7=""),"",IF(ABS($E7)&lt;=PARÁMETROS!$B$32,"OK",IF(ABS($E7)&lt;=PARÁMETROS!$B$33,"REVISAR","ERROR")))</f>
        <v/>
      </c>
      <c r="G7" s="24"/>
    </row>
    <row r="8" customFormat="false" ht="15" hidden="false" customHeight="false" outlineLevel="0" collapsed="false">
      <c r="A8" s="24" t="str">
        <f aca="false">IF(SALDOS!A9="","",SALDOS!A9)</f>
        <v/>
      </c>
      <c r="B8" s="24" t="str">
        <f aca="false">IF(SALDOS!A9="","",SALDOS!B9)</f>
        <v/>
      </c>
      <c r="C8" s="25" t="str">
        <f aca="false">IF($A8="","",SALDOS!F9)</f>
        <v/>
      </c>
      <c r="D8" s="41"/>
      <c r="E8" s="25" t="str">
        <f aca="false">IF(OR($A8="",$D8=""),"",$D8-$C8)</f>
        <v/>
      </c>
      <c r="F8" s="42" t="str">
        <f aca="false">IF(OR($A8="",$D8=""),"",IF(ABS($E8)&lt;=PARÁMETROS!$B$32,"OK",IF(ABS($E8)&lt;=PARÁMETROS!$B$33,"REVISAR","ERROR")))</f>
        <v/>
      </c>
      <c r="G8" s="24"/>
    </row>
    <row r="9" customFormat="false" ht="15" hidden="false" customHeight="false" outlineLevel="0" collapsed="false">
      <c r="A9" s="24" t="str">
        <f aca="false">IF(SALDOS!A10="","",SALDOS!A10)</f>
        <v>Wallet-Fría</v>
      </c>
      <c r="B9" s="24" t="str">
        <f aca="false">IF(SALDOS!A10="","",SALDOS!B10)</f>
        <v>BTC</v>
      </c>
      <c r="C9" s="25" t="n">
        <f aca="false">IF($A9="","",SALDOS!F10)</f>
        <v>0.3</v>
      </c>
      <c r="D9" s="41" t="n">
        <v>0.2998</v>
      </c>
      <c r="E9" s="25" t="n">
        <f aca="false">IF(OR($A9="",$D9=""),"",$D9-$C9)</f>
        <v>-0.000199999999999978</v>
      </c>
      <c r="F9" s="42" t="str">
        <f aca="false">IF(OR($A9="",$D9=""),"",IF(ABS($E9)&lt;=PARÁMETROS!$B$32,"OK",IF(ABS($E9)&lt;=PARÁMETROS!$B$33,"REVISAR","ERROR")))</f>
        <v>REVISAR</v>
      </c>
      <c r="G9" s="43" t="s">
        <v>185</v>
      </c>
    </row>
    <row r="10" customFormat="false" ht="15" hidden="false" customHeight="false" outlineLevel="0" collapsed="false">
      <c r="A10" s="24" t="str">
        <f aca="false">IF(SALDOS!A11="","",SALDOS!A11)</f>
        <v>Wallet-Fría</v>
      </c>
      <c r="B10" s="24" t="str">
        <f aca="false">IF(SALDOS!A11="","",SALDOS!B11)</f>
        <v>EUR</v>
      </c>
      <c r="C10" s="25" t="n">
        <f aca="false">IF($A10="","",SALDOS!F11)</f>
        <v>0</v>
      </c>
      <c r="D10" s="41"/>
      <c r="E10" s="25" t="str">
        <f aca="false">IF(OR($A10="",$D10=""),"",$D10-$C10)</f>
        <v/>
      </c>
      <c r="F10" s="42" t="str">
        <f aca="false">IF(OR($A10="",$D10=""),"",IF(ABS($E10)&lt;=PARÁMETROS!$B$32,"OK",IF(ABS($E10)&lt;=PARÁMETROS!$B$33,"REVISAR","ERROR")))</f>
        <v/>
      </c>
      <c r="G10" s="24"/>
    </row>
    <row r="11" customFormat="false" ht="15" hidden="false" customHeight="false" outlineLevel="0" collapsed="false">
      <c r="A11" s="24" t="str">
        <f aca="false">IF(SALDOS!A12="","",SALDOS!A12)</f>
        <v/>
      </c>
      <c r="B11" s="24" t="str">
        <f aca="false">IF(SALDOS!A12="","",SALDOS!B12)</f>
        <v/>
      </c>
      <c r="C11" s="25" t="str">
        <f aca="false">IF($A11="","",SALDOS!F12)</f>
        <v/>
      </c>
      <c r="D11" s="41"/>
      <c r="E11" s="25" t="str">
        <f aca="false">IF(OR($A11="",$D11=""),"",$D11-$C11)</f>
        <v/>
      </c>
      <c r="F11" s="42" t="str">
        <f aca="false">IF(OR($A11="",$D11=""),"",IF(ABS($E11)&lt;=PARÁMETROS!$B$32,"OK",IF(ABS($E11)&lt;=PARÁMETROS!$B$33,"REVISAR","ERROR")))</f>
        <v/>
      </c>
      <c r="G11" s="24"/>
    </row>
    <row r="12" customFormat="false" ht="15" hidden="false" customHeight="false" outlineLevel="0" collapsed="false">
      <c r="A12" s="24" t="str">
        <f aca="false">IF(SALDOS!A13="","",SALDOS!A13)</f>
        <v/>
      </c>
      <c r="B12" s="24" t="str">
        <f aca="false">IF(SALDOS!A13="","",SALDOS!B13)</f>
        <v/>
      </c>
      <c r="C12" s="25" t="str">
        <f aca="false">IF($A12="","",SALDOS!F13)</f>
        <v/>
      </c>
      <c r="D12" s="41"/>
      <c r="E12" s="25" t="str">
        <f aca="false">IF(OR($A12="",$D12=""),"",$D12-$C12)</f>
        <v/>
      </c>
      <c r="F12" s="42" t="str">
        <f aca="false">IF(OR($A12="",$D12=""),"",IF(ABS($E12)&lt;=PARÁMETROS!$B$32,"OK",IF(ABS($E12)&lt;=PARÁMETROS!$B$33,"REVISAR","ERROR")))</f>
        <v/>
      </c>
      <c r="G12" s="24"/>
    </row>
    <row r="13" customFormat="false" ht="15" hidden="false" customHeight="false" outlineLevel="0" collapsed="false">
      <c r="A13" s="24" t="str">
        <f aca="false">IF(SALDOS!A14="","",SALDOS!A14)</f>
        <v/>
      </c>
      <c r="B13" s="24" t="str">
        <f aca="false">IF(SALDOS!A14="","",SALDOS!B14)</f>
        <v/>
      </c>
      <c r="C13" s="25" t="str">
        <f aca="false">IF($A13="","",SALDOS!F14)</f>
        <v/>
      </c>
      <c r="D13" s="41"/>
      <c r="E13" s="25" t="str">
        <f aca="false">IF(OR($A13="",$D13=""),"",$D13-$C13)</f>
        <v/>
      </c>
      <c r="F13" s="42" t="str">
        <f aca="false">IF(OR($A13="",$D13=""),"",IF(ABS($E13)&lt;=PARÁMETROS!$B$32,"OK",IF(ABS($E13)&lt;=PARÁMETROS!$B$33,"REVISAR","ERROR")))</f>
        <v/>
      </c>
      <c r="G13" s="24"/>
    </row>
    <row r="14" customFormat="false" ht="15" hidden="false" customHeight="false" outlineLevel="0" collapsed="false">
      <c r="A14" s="24" t="str">
        <f aca="false">IF(SALDOS!A15="","",SALDOS!A15)</f>
        <v>Canal-LN</v>
      </c>
      <c r="B14" s="24" t="str">
        <f aca="false">IF(SALDOS!A15="","",SALDOS!B15)</f>
        <v>BTC</v>
      </c>
      <c r="C14" s="25" t="n">
        <f aca="false">IF($A14="","",SALDOS!F15)</f>
        <v>0</v>
      </c>
      <c r="D14" s="41"/>
      <c r="E14" s="25" t="str">
        <f aca="false">IF(OR($A14="",$D14=""),"",$D14-$C14)</f>
        <v/>
      </c>
      <c r="F14" s="42" t="str">
        <f aca="false">IF(OR($A14="",$D14=""),"",IF(ABS($E14)&lt;=PARÁMETROS!$B$32,"OK",IF(ABS($E14)&lt;=PARÁMETROS!$B$33,"REVISAR","ERROR")))</f>
        <v/>
      </c>
      <c r="G14" s="24"/>
    </row>
    <row r="15" customFormat="false" ht="15" hidden="false" customHeight="false" outlineLevel="0" collapsed="false">
      <c r="A15" s="24" t="str">
        <f aca="false">IF(SALDOS!A16="","",SALDOS!A16)</f>
        <v>Canal-LN</v>
      </c>
      <c r="B15" s="24" t="str">
        <f aca="false">IF(SALDOS!A16="","",SALDOS!B16)</f>
        <v>EUR</v>
      </c>
      <c r="C15" s="25" t="n">
        <f aca="false">IF($A15="","",SALDOS!F16)</f>
        <v>0</v>
      </c>
      <c r="D15" s="41"/>
      <c r="E15" s="25" t="str">
        <f aca="false">IF(OR($A15="",$D15=""),"",$D15-$C15)</f>
        <v/>
      </c>
      <c r="F15" s="42" t="str">
        <f aca="false">IF(OR($A15="",$D15=""),"",IF(ABS($E15)&lt;=PARÁMETROS!$B$32,"OK",IF(ABS($E15)&lt;=PARÁMETROS!$B$33,"REVISAR","ERROR")))</f>
        <v/>
      </c>
      <c r="G15" s="24"/>
    </row>
    <row r="16" customFormat="false" ht="15" hidden="false" customHeight="false" outlineLevel="0" collapsed="false">
      <c r="A16" s="24" t="str">
        <f aca="false">IF(SALDOS!A17="","",SALDOS!A17)</f>
        <v/>
      </c>
      <c r="B16" s="24" t="str">
        <f aca="false">IF(SALDOS!A17="","",SALDOS!B17)</f>
        <v/>
      </c>
      <c r="C16" s="25" t="str">
        <f aca="false">IF($A16="","",SALDOS!F17)</f>
        <v/>
      </c>
      <c r="D16" s="41"/>
      <c r="E16" s="25" t="str">
        <f aca="false">IF(OR($A16="",$D16=""),"",$D16-$C16)</f>
        <v/>
      </c>
      <c r="F16" s="42" t="str">
        <f aca="false">IF(OR($A16="",$D16=""),"",IF(ABS($E16)&lt;=PARÁMETROS!$B$32,"OK",IF(ABS($E16)&lt;=PARÁMETROS!$B$33,"REVISAR","ERROR")))</f>
        <v/>
      </c>
      <c r="G16" s="24"/>
    </row>
    <row r="17" customFormat="false" ht="15" hidden="false" customHeight="false" outlineLevel="0" collapsed="false">
      <c r="A17" s="24" t="str">
        <f aca="false">IF(SALDOS!A18="","",SALDOS!A18)</f>
        <v/>
      </c>
      <c r="B17" s="24" t="str">
        <f aca="false">IF(SALDOS!A18="","",SALDOS!B18)</f>
        <v/>
      </c>
      <c r="C17" s="25" t="str">
        <f aca="false">IF($A17="","",SALDOS!F18)</f>
        <v/>
      </c>
      <c r="D17" s="41"/>
      <c r="E17" s="25" t="str">
        <f aca="false">IF(OR($A17="",$D17=""),"",$D17-$C17)</f>
        <v/>
      </c>
      <c r="F17" s="42" t="str">
        <f aca="false">IF(OR($A17="",$D17=""),"",IF(ABS($E17)&lt;=PARÁMETROS!$B$32,"OK",IF(ABS($E17)&lt;=PARÁMETROS!$B$33,"REVISAR","ERROR")))</f>
        <v/>
      </c>
      <c r="G17" s="24"/>
    </row>
    <row r="18" customFormat="false" ht="15" hidden="false" customHeight="false" outlineLevel="0" collapsed="false">
      <c r="A18" s="24" t="str">
        <f aca="false">IF(SALDOS!A19="","",SALDOS!A19)</f>
        <v/>
      </c>
      <c r="B18" s="24" t="str">
        <f aca="false">IF(SALDOS!A19="","",SALDOS!B19)</f>
        <v/>
      </c>
      <c r="C18" s="25" t="str">
        <f aca="false">IF($A18="","",SALDOS!F19)</f>
        <v/>
      </c>
      <c r="D18" s="41"/>
      <c r="E18" s="25" t="str">
        <f aca="false">IF(OR($A18="",$D18=""),"",$D18-$C18)</f>
        <v/>
      </c>
      <c r="F18" s="42" t="str">
        <f aca="false">IF(OR($A18="",$D18=""),"",IF(ABS($E18)&lt;=PARÁMETROS!$B$32,"OK",IF(ABS($E18)&lt;=PARÁMETROS!$B$33,"REVISAR","ERROR")))</f>
        <v/>
      </c>
      <c r="G18" s="24"/>
    </row>
    <row r="19" customFormat="false" ht="15" hidden="false" customHeight="false" outlineLevel="0" collapsed="false">
      <c r="A19" s="24" t="str">
        <f aca="false">IF(SALDOS!A20="","",SALDOS!A20)</f>
        <v/>
      </c>
      <c r="B19" s="24" t="str">
        <f aca="false">IF(SALDOS!A20="","",SALDOS!B20)</f>
        <v/>
      </c>
      <c r="C19" s="25" t="str">
        <f aca="false">IF($A19="","",SALDOS!F20)</f>
        <v/>
      </c>
      <c r="D19" s="41"/>
      <c r="E19" s="25" t="str">
        <f aca="false">IF(OR($A19="",$D19=""),"",$D19-$C19)</f>
        <v/>
      </c>
      <c r="F19" s="42" t="str">
        <f aca="false">IF(OR($A19="",$D19=""),"",IF(ABS($E19)&lt;=PARÁMETROS!$B$32,"OK",IF(ABS($E19)&lt;=PARÁMETROS!$B$33,"REVISAR","ERROR")))</f>
        <v/>
      </c>
      <c r="G19" s="24"/>
    </row>
    <row r="20" customFormat="false" ht="15" hidden="false" customHeight="false" outlineLevel="0" collapsed="false">
      <c r="A20" s="24" t="str">
        <f aca="false">IF(SALDOS!A21="","",SALDOS!A21)</f>
        <v/>
      </c>
      <c r="B20" s="24" t="str">
        <f aca="false">IF(SALDOS!A21="","",SALDOS!B21)</f>
        <v/>
      </c>
      <c r="C20" s="25" t="str">
        <f aca="false">IF($A20="","",SALDOS!F21)</f>
        <v/>
      </c>
      <c r="D20" s="41"/>
      <c r="E20" s="25" t="str">
        <f aca="false">IF(OR($A20="",$D20=""),"",$D20-$C20)</f>
        <v/>
      </c>
      <c r="F20" s="42" t="str">
        <f aca="false">IF(OR($A20="",$D20=""),"",IF(ABS($E20)&lt;=PARÁMETROS!$B$32,"OK",IF(ABS($E20)&lt;=PARÁMETROS!$B$33,"REVISAR","ERROR")))</f>
        <v/>
      </c>
      <c r="G20" s="24"/>
    </row>
    <row r="21" customFormat="false" ht="15" hidden="false" customHeight="false" outlineLevel="0" collapsed="false">
      <c r="A21" s="24" t="str">
        <f aca="false">IF(SALDOS!A22="","",SALDOS!A22)</f>
        <v/>
      </c>
      <c r="B21" s="24" t="str">
        <f aca="false">IF(SALDOS!A22="","",SALDOS!B22)</f>
        <v/>
      </c>
      <c r="C21" s="25" t="str">
        <f aca="false">IF($A21="","",SALDOS!F22)</f>
        <v/>
      </c>
      <c r="D21" s="41"/>
      <c r="E21" s="25" t="str">
        <f aca="false">IF(OR($A21="",$D21=""),"",$D21-$C21)</f>
        <v/>
      </c>
      <c r="F21" s="42" t="str">
        <f aca="false">IF(OR($A21="",$D21=""),"",IF(ABS($E21)&lt;=PARÁMETROS!$B$32,"OK",IF(ABS($E21)&lt;=PARÁMETROS!$B$33,"REVISAR","ERROR")))</f>
        <v/>
      </c>
      <c r="G21" s="24"/>
    </row>
    <row r="22" customFormat="false" ht="15" hidden="false" customHeight="false" outlineLevel="0" collapsed="false">
      <c r="A22" s="24" t="str">
        <f aca="false">IF(SALDOS!A23="","",SALDOS!A23)</f>
        <v/>
      </c>
      <c r="B22" s="24" t="str">
        <f aca="false">IF(SALDOS!A23="","",SALDOS!B23)</f>
        <v/>
      </c>
      <c r="C22" s="25" t="str">
        <f aca="false">IF($A22="","",SALDOS!F23)</f>
        <v/>
      </c>
      <c r="D22" s="41"/>
      <c r="E22" s="25" t="str">
        <f aca="false">IF(OR($A22="",$D22=""),"",$D22-$C22)</f>
        <v/>
      </c>
      <c r="F22" s="42" t="str">
        <f aca="false">IF(OR($A22="",$D22=""),"",IF(ABS($E22)&lt;=PARÁMETROS!$B$32,"OK",IF(ABS($E22)&lt;=PARÁMETROS!$B$33,"REVISAR","ERROR")))</f>
        <v/>
      </c>
      <c r="G22" s="24"/>
    </row>
    <row r="23" customFormat="false" ht="15" hidden="false" customHeight="false" outlineLevel="0" collapsed="false">
      <c r="A23" s="24" t="str">
        <f aca="false">IF(SALDOS!A24="","",SALDOS!A24)</f>
        <v/>
      </c>
      <c r="B23" s="24" t="str">
        <f aca="false">IF(SALDOS!A24="","",SALDOS!B24)</f>
        <v/>
      </c>
      <c r="C23" s="25" t="str">
        <f aca="false">IF($A23="","",SALDOS!F24)</f>
        <v/>
      </c>
      <c r="D23" s="41"/>
      <c r="E23" s="25" t="str">
        <f aca="false">IF(OR($A23="",$D23=""),"",$D23-$C23)</f>
        <v/>
      </c>
      <c r="F23" s="42" t="str">
        <f aca="false">IF(OR($A23="",$D23=""),"",IF(ABS($E23)&lt;=PARÁMETROS!$B$32,"OK",IF(ABS($E23)&lt;=PARÁMETROS!$B$33,"REVISAR","ERROR")))</f>
        <v/>
      </c>
      <c r="G23" s="24"/>
    </row>
    <row r="24" customFormat="false" ht="15" hidden="false" customHeight="false" outlineLevel="0" collapsed="false">
      <c r="A24" s="24" t="str">
        <f aca="false">IF(SALDOS!A25="","",SALDOS!A25)</f>
        <v/>
      </c>
      <c r="B24" s="24" t="str">
        <f aca="false">IF(SALDOS!A25="","",SALDOS!B25)</f>
        <v/>
      </c>
      <c r="C24" s="25" t="str">
        <f aca="false">IF($A24="","",SALDOS!F25)</f>
        <v/>
      </c>
      <c r="D24" s="41"/>
      <c r="E24" s="25" t="str">
        <f aca="false">IF(OR($A24="",$D24=""),"",$D24-$C24)</f>
        <v/>
      </c>
      <c r="F24" s="42" t="str">
        <f aca="false">IF(OR($A24="",$D24=""),"",IF(ABS($E24)&lt;=PARÁMETROS!$B$32,"OK",IF(ABS($E24)&lt;=PARÁMETROS!$B$33,"REVISAR","ERROR")))</f>
        <v/>
      </c>
      <c r="G24" s="24"/>
    </row>
    <row r="25" customFormat="false" ht="15" hidden="false" customHeight="false" outlineLevel="0" collapsed="false">
      <c r="A25" s="24" t="str">
        <f aca="false">IF(SALDOS!A26="","",SALDOS!A26)</f>
        <v/>
      </c>
      <c r="B25" s="24" t="str">
        <f aca="false">IF(SALDOS!A26="","",SALDOS!B26)</f>
        <v/>
      </c>
      <c r="C25" s="25" t="str">
        <f aca="false">IF($A25="","",SALDOS!F26)</f>
        <v/>
      </c>
      <c r="D25" s="41"/>
      <c r="E25" s="25" t="str">
        <f aca="false">IF(OR($A25="",$D25=""),"",$D25-$C25)</f>
        <v/>
      </c>
      <c r="F25" s="42" t="str">
        <f aca="false">IF(OR($A25="",$D25=""),"",IF(ABS($E25)&lt;=PARÁMETROS!$B$32,"OK",IF(ABS($E25)&lt;=PARÁMETROS!$B$33,"REVISAR","ERROR")))</f>
        <v/>
      </c>
      <c r="G25" s="24"/>
    </row>
    <row r="26" customFormat="false" ht="15" hidden="false" customHeight="false" outlineLevel="0" collapsed="false">
      <c r="A26" s="24" t="str">
        <f aca="false">IF(SALDOS!A27="","",SALDOS!A27)</f>
        <v/>
      </c>
      <c r="B26" s="24" t="str">
        <f aca="false">IF(SALDOS!A27="","",SALDOS!B27)</f>
        <v/>
      </c>
      <c r="C26" s="25" t="str">
        <f aca="false">IF($A26="","",SALDOS!F27)</f>
        <v/>
      </c>
      <c r="D26" s="41"/>
      <c r="E26" s="25" t="str">
        <f aca="false">IF(OR($A26="",$D26=""),"",$D26-$C26)</f>
        <v/>
      </c>
      <c r="F26" s="42" t="str">
        <f aca="false">IF(OR($A26="",$D26=""),"",IF(ABS($E26)&lt;=PARÁMETROS!$B$32,"OK",IF(ABS($E26)&lt;=PARÁMETROS!$B$33,"REVISAR","ERROR")))</f>
        <v/>
      </c>
      <c r="G26" s="24"/>
    </row>
    <row r="27" customFormat="false" ht="15" hidden="false" customHeight="false" outlineLevel="0" collapsed="false">
      <c r="A27" s="24" t="str">
        <f aca="false">IF(SALDOS!A28="","",SALDOS!A28)</f>
        <v/>
      </c>
      <c r="B27" s="24" t="str">
        <f aca="false">IF(SALDOS!A28="","",SALDOS!B28)</f>
        <v/>
      </c>
      <c r="C27" s="25" t="str">
        <f aca="false">IF($A27="","",SALDOS!F28)</f>
        <v/>
      </c>
      <c r="D27" s="41"/>
      <c r="E27" s="25" t="str">
        <f aca="false">IF(OR($A27="",$D27=""),"",$D27-$C27)</f>
        <v/>
      </c>
      <c r="F27" s="42" t="str">
        <f aca="false">IF(OR($A27="",$D27=""),"",IF(ABS($E27)&lt;=PARÁMETROS!$B$32,"OK",IF(ABS($E27)&lt;=PARÁMETROS!$B$33,"REVISAR","ERROR")))</f>
        <v/>
      </c>
      <c r="G27" s="24"/>
    </row>
    <row r="28" customFormat="false" ht="15" hidden="false" customHeight="false" outlineLevel="0" collapsed="false">
      <c r="A28" s="24" t="str">
        <f aca="false">IF(SALDOS!A29="","",SALDOS!A29)</f>
        <v/>
      </c>
      <c r="B28" s="24" t="str">
        <f aca="false">IF(SALDOS!A29="","",SALDOS!B29)</f>
        <v/>
      </c>
      <c r="C28" s="25" t="str">
        <f aca="false">IF($A28="","",SALDOS!F29)</f>
        <v/>
      </c>
      <c r="D28" s="41"/>
      <c r="E28" s="25" t="str">
        <f aca="false">IF(OR($A28="",$D28=""),"",$D28-$C28)</f>
        <v/>
      </c>
      <c r="F28" s="42" t="str">
        <f aca="false">IF(OR($A28="",$D28=""),"",IF(ABS($E28)&lt;=PARÁMETROS!$B$32,"OK",IF(ABS($E28)&lt;=PARÁMETROS!$B$33,"REVISAR","ERROR")))</f>
        <v/>
      </c>
      <c r="G28" s="24"/>
    </row>
    <row r="29" customFormat="false" ht="15" hidden="false" customHeight="false" outlineLevel="0" collapsed="false">
      <c r="A29" s="24" t="str">
        <f aca="false">IF(SALDOS!A30="","",SALDOS!A30)</f>
        <v/>
      </c>
      <c r="B29" s="24" t="str">
        <f aca="false">IF(SALDOS!A30="","",SALDOS!B30)</f>
        <v/>
      </c>
      <c r="C29" s="25" t="str">
        <f aca="false">IF($A29="","",SALDOS!F30)</f>
        <v/>
      </c>
      <c r="D29" s="41"/>
      <c r="E29" s="25" t="str">
        <f aca="false">IF(OR($A29="",$D29=""),"",$D29-$C29)</f>
        <v/>
      </c>
      <c r="F29" s="42" t="str">
        <f aca="false">IF(OR($A29="",$D29=""),"",IF(ABS($E29)&lt;=PARÁMETROS!$B$32,"OK",IF(ABS($E29)&lt;=PARÁMETROS!$B$33,"REVISAR","ERROR")))</f>
        <v/>
      </c>
      <c r="G29" s="24"/>
    </row>
    <row r="30" customFormat="false" ht="15" hidden="false" customHeight="false" outlineLevel="0" collapsed="false">
      <c r="A30" s="24" t="str">
        <f aca="false">IF(SALDOS!A31="","",SALDOS!A31)</f>
        <v/>
      </c>
      <c r="B30" s="24" t="str">
        <f aca="false">IF(SALDOS!A31="","",SALDOS!B31)</f>
        <v/>
      </c>
      <c r="C30" s="25" t="str">
        <f aca="false">IF($A30="","",SALDOS!F31)</f>
        <v/>
      </c>
      <c r="D30" s="41"/>
      <c r="E30" s="25" t="str">
        <f aca="false">IF(OR($A30="",$D30=""),"",$D30-$C30)</f>
        <v/>
      </c>
      <c r="F30" s="42" t="str">
        <f aca="false">IF(OR($A30="",$D30=""),"",IF(ABS($E30)&lt;=PARÁMETROS!$B$32,"OK",IF(ABS($E30)&lt;=PARÁMETROS!$B$33,"REVISAR","ERROR")))</f>
        <v/>
      </c>
      <c r="G30" s="24"/>
    </row>
    <row r="31" customFormat="false" ht="15" hidden="false" customHeight="false" outlineLevel="0" collapsed="false">
      <c r="A31" s="24" t="str">
        <f aca="false">IF(SALDOS!A32="","",SALDOS!A32)</f>
        <v/>
      </c>
      <c r="B31" s="24" t="str">
        <f aca="false">IF(SALDOS!A32="","",SALDOS!B32)</f>
        <v/>
      </c>
      <c r="C31" s="25" t="str">
        <f aca="false">IF($A31="","",SALDOS!F32)</f>
        <v/>
      </c>
      <c r="D31" s="41"/>
      <c r="E31" s="25" t="str">
        <f aca="false">IF(OR($A31="",$D31=""),"",$D31-$C31)</f>
        <v/>
      </c>
      <c r="F31" s="42" t="str">
        <f aca="false">IF(OR($A31="",$D31=""),"",IF(ABS($E31)&lt;=PARÁMETROS!$B$32,"OK",IF(ABS($E31)&lt;=PARÁMETROS!$B$33,"REVISAR","ERROR")))</f>
        <v/>
      </c>
      <c r="G31" s="24"/>
    </row>
    <row r="32" customFormat="false" ht="15" hidden="false" customHeight="false" outlineLevel="0" collapsed="false">
      <c r="A32" s="24" t="str">
        <f aca="false">IF(SALDOS!A33="","",SALDOS!A33)</f>
        <v/>
      </c>
      <c r="B32" s="24" t="str">
        <f aca="false">IF(SALDOS!A33="","",SALDOS!B33)</f>
        <v/>
      </c>
      <c r="C32" s="25" t="str">
        <f aca="false">IF($A32="","",SALDOS!F33)</f>
        <v/>
      </c>
      <c r="D32" s="41"/>
      <c r="E32" s="25" t="str">
        <f aca="false">IF(OR($A32="",$D32=""),"",$D32-$C32)</f>
        <v/>
      </c>
      <c r="F32" s="42" t="str">
        <f aca="false">IF(OR($A32="",$D32=""),"",IF(ABS($E32)&lt;=PARÁMETROS!$B$32,"OK",IF(ABS($E32)&lt;=PARÁMETROS!$B$33,"REVISAR","ERROR")))</f>
        <v/>
      </c>
      <c r="G32" s="24"/>
    </row>
    <row r="33" customFormat="false" ht="15" hidden="false" customHeight="false" outlineLevel="0" collapsed="false">
      <c r="A33" s="24" t="str">
        <f aca="false">IF(SALDOS!A34="","",SALDOS!A34)</f>
        <v/>
      </c>
      <c r="B33" s="24" t="str">
        <f aca="false">IF(SALDOS!A34="","",SALDOS!B34)</f>
        <v/>
      </c>
      <c r="C33" s="25" t="str">
        <f aca="false">IF($A33="","",SALDOS!F34)</f>
        <v/>
      </c>
      <c r="D33" s="41"/>
      <c r="E33" s="25" t="str">
        <f aca="false">IF(OR($A33="",$D33=""),"",$D33-$C33)</f>
        <v/>
      </c>
      <c r="F33" s="42" t="str">
        <f aca="false">IF(OR($A33="",$D33=""),"",IF(ABS($E33)&lt;=PARÁMETROS!$B$32,"OK",IF(ABS($E33)&lt;=PARÁMETROS!$B$33,"REVISAR","ERROR")))</f>
        <v/>
      </c>
      <c r="G33" s="24"/>
    </row>
    <row r="34" customFormat="false" ht="15" hidden="false" customHeight="false" outlineLevel="0" collapsed="false">
      <c r="A34" s="24" t="str">
        <f aca="false">IF(SALDOS!A35="","",SALDOS!A35)</f>
        <v/>
      </c>
      <c r="B34" s="24" t="str">
        <f aca="false">IF(SALDOS!A35="","",SALDOS!B35)</f>
        <v/>
      </c>
      <c r="C34" s="25" t="str">
        <f aca="false">IF($A34="","",SALDOS!F35)</f>
        <v/>
      </c>
      <c r="D34" s="41"/>
      <c r="E34" s="25" t="str">
        <f aca="false">IF(OR($A34="",$D34=""),"",$D34-$C34)</f>
        <v/>
      </c>
      <c r="F34" s="42" t="str">
        <f aca="false">IF(OR($A34="",$D34=""),"",IF(ABS($E34)&lt;=PARÁMETROS!$B$32,"OK",IF(ABS($E34)&lt;=PARÁMETROS!$B$33,"REVISAR","ERROR")))</f>
        <v/>
      </c>
      <c r="G34" s="24"/>
    </row>
    <row r="35" customFormat="false" ht="15" hidden="false" customHeight="false" outlineLevel="0" collapsed="false">
      <c r="A35" s="24" t="str">
        <f aca="false">IF(SALDOS!A36="","",SALDOS!A36)</f>
        <v/>
      </c>
      <c r="B35" s="24" t="str">
        <f aca="false">IF(SALDOS!A36="","",SALDOS!B36)</f>
        <v/>
      </c>
      <c r="C35" s="25" t="str">
        <f aca="false">IF($A35="","",SALDOS!F36)</f>
        <v/>
      </c>
      <c r="D35" s="41"/>
      <c r="E35" s="25" t="str">
        <f aca="false">IF(OR($A35="",$D35=""),"",$D35-$C35)</f>
        <v/>
      </c>
      <c r="F35" s="42" t="str">
        <f aca="false">IF(OR($A35="",$D35=""),"",IF(ABS($E35)&lt;=PARÁMETROS!$B$32,"OK",IF(ABS($E35)&lt;=PARÁMETROS!$B$33,"REVISAR","ERROR")))</f>
        <v/>
      </c>
      <c r="G35" s="24"/>
    </row>
    <row r="36" customFormat="false" ht="15" hidden="false" customHeight="false" outlineLevel="0" collapsed="false">
      <c r="A36" s="24" t="str">
        <f aca="false">IF(SALDOS!A37="","",SALDOS!A37)</f>
        <v/>
      </c>
      <c r="B36" s="24" t="str">
        <f aca="false">IF(SALDOS!A37="","",SALDOS!B37)</f>
        <v/>
      </c>
      <c r="C36" s="25" t="str">
        <f aca="false">IF($A36="","",SALDOS!F37)</f>
        <v/>
      </c>
      <c r="D36" s="41"/>
      <c r="E36" s="25" t="str">
        <f aca="false">IF(OR($A36="",$D36=""),"",$D36-$C36)</f>
        <v/>
      </c>
      <c r="F36" s="42" t="str">
        <f aca="false">IF(OR($A36="",$D36=""),"",IF(ABS($E36)&lt;=PARÁMETROS!$B$32,"OK",IF(ABS($E36)&lt;=PARÁMETROS!$B$33,"REVISAR","ERROR")))</f>
        <v/>
      </c>
      <c r="G36" s="24"/>
    </row>
    <row r="37" customFormat="false" ht="15" hidden="false" customHeight="false" outlineLevel="0" collapsed="false">
      <c r="A37" s="24" t="str">
        <f aca="false">IF(SALDOS!A38="","",SALDOS!A38)</f>
        <v/>
      </c>
      <c r="B37" s="24" t="str">
        <f aca="false">IF(SALDOS!A38="","",SALDOS!B38)</f>
        <v/>
      </c>
      <c r="C37" s="25" t="str">
        <f aca="false">IF($A37="","",SALDOS!F38)</f>
        <v/>
      </c>
      <c r="D37" s="41"/>
      <c r="E37" s="25" t="str">
        <f aca="false">IF(OR($A37="",$D37=""),"",$D37-$C37)</f>
        <v/>
      </c>
      <c r="F37" s="42" t="str">
        <f aca="false">IF(OR($A37="",$D37=""),"",IF(ABS($E37)&lt;=PARÁMETROS!$B$32,"OK",IF(ABS($E37)&lt;=PARÁMETROS!$B$33,"REVISAR","ERROR")))</f>
        <v/>
      </c>
      <c r="G37" s="24"/>
    </row>
    <row r="38" customFormat="false" ht="15" hidden="false" customHeight="false" outlineLevel="0" collapsed="false">
      <c r="A38" s="24" t="str">
        <f aca="false">IF(SALDOS!A39="","",SALDOS!A39)</f>
        <v/>
      </c>
      <c r="B38" s="24" t="str">
        <f aca="false">IF(SALDOS!A39="","",SALDOS!B39)</f>
        <v/>
      </c>
      <c r="C38" s="25" t="str">
        <f aca="false">IF($A38="","",SALDOS!F39)</f>
        <v/>
      </c>
      <c r="D38" s="41"/>
      <c r="E38" s="25" t="str">
        <f aca="false">IF(OR($A38="",$D38=""),"",$D38-$C38)</f>
        <v/>
      </c>
      <c r="F38" s="42" t="str">
        <f aca="false">IF(OR($A38="",$D38=""),"",IF(ABS($E38)&lt;=PARÁMETROS!$B$32,"OK",IF(ABS($E38)&lt;=PARÁMETROS!$B$33,"REVISAR","ERROR")))</f>
        <v/>
      </c>
      <c r="G38" s="24"/>
    </row>
    <row r="39" customFormat="false" ht="15" hidden="false" customHeight="false" outlineLevel="0" collapsed="false">
      <c r="A39" s="24" t="str">
        <f aca="false">IF(SALDOS!A40="","",SALDOS!A40)</f>
        <v/>
      </c>
      <c r="B39" s="24" t="str">
        <f aca="false">IF(SALDOS!A40="","",SALDOS!B40)</f>
        <v/>
      </c>
      <c r="C39" s="25" t="str">
        <f aca="false">IF($A39="","",SALDOS!F40)</f>
        <v/>
      </c>
      <c r="D39" s="41"/>
      <c r="E39" s="25" t="str">
        <f aca="false">IF(OR($A39="",$D39=""),"",$D39-$C39)</f>
        <v/>
      </c>
      <c r="F39" s="42" t="str">
        <f aca="false">IF(OR($A39="",$D39=""),"",IF(ABS($E39)&lt;=PARÁMETROS!$B$32,"OK",IF(ABS($E39)&lt;=PARÁMETROS!$B$33,"REVISAR","ERROR")))</f>
        <v/>
      </c>
      <c r="G39" s="24"/>
    </row>
    <row r="40" customFormat="false" ht="15" hidden="false" customHeight="false" outlineLevel="0" collapsed="false">
      <c r="A40" s="24" t="str">
        <f aca="false">IF(SALDOS!A41="","",SALDOS!A41)</f>
        <v/>
      </c>
      <c r="B40" s="24" t="str">
        <f aca="false">IF(SALDOS!A41="","",SALDOS!B41)</f>
        <v/>
      </c>
      <c r="C40" s="25" t="str">
        <f aca="false">IF($A40="","",SALDOS!F41)</f>
        <v/>
      </c>
      <c r="D40" s="41"/>
      <c r="E40" s="25" t="str">
        <f aca="false">IF(OR($A40="",$D40=""),"",$D40-$C40)</f>
        <v/>
      </c>
      <c r="F40" s="42" t="str">
        <f aca="false">IF(OR($A40="",$D40=""),"",IF(ABS($E40)&lt;=PARÁMETROS!$B$32,"OK",IF(ABS($E40)&lt;=PARÁMETROS!$B$33,"REVISAR","ERROR")))</f>
        <v/>
      </c>
      <c r="G40" s="24"/>
    </row>
    <row r="41" customFormat="false" ht="15" hidden="false" customHeight="false" outlineLevel="0" collapsed="false">
      <c r="A41" s="24" t="str">
        <f aca="false">IF(SALDOS!A42="","",SALDOS!A42)</f>
        <v/>
      </c>
      <c r="B41" s="24" t="str">
        <f aca="false">IF(SALDOS!A42="","",SALDOS!B42)</f>
        <v/>
      </c>
      <c r="C41" s="25" t="str">
        <f aca="false">IF($A41="","",SALDOS!F42)</f>
        <v/>
      </c>
      <c r="D41" s="41"/>
      <c r="E41" s="25" t="str">
        <f aca="false">IF(OR($A41="",$D41=""),"",$D41-$C41)</f>
        <v/>
      </c>
      <c r="F41" s="42" t="str">
        <f aca="false">IF(OR($A41="",$D41=""),"",IF(ABS($E41)&lt;=PARÁMETROS!$B$32,"OK",IF(ABS($E41)&lt;=PARÁMETROS!$B$33,"REVISAR","ERROR")))</f>
        <v/>
      </c>
      <c r="G41" s="24"/>
    </row>
    <row r="42" customFormat="false" ht="15" hidden="false" customHeight="false" outlineLevel="0" collapsed="false">
      <c r="A42" s="24" t="str">
        <f aca="false">IF(SALDOS!A43="","",SALDOS!A43)</f>
        <v/>
      </c>
      <c r="B42" s="24" t="str">
        <f aca="false">IF(SALDOS!A43="","",SALDOS!B43)</f>
        <v/>
      </c>
      <c r="C42" s="25" t="str">
        <f aca="false">IF($A42="","",SALDOS!F43)</f>
        <v/>
      </c>
      <c r="D42" s="41"/>
      <c r="E42" s="25" t="str">
        <f aca="false">IF(OR($A42="",$D42=""),"",$D42-$C42)</f>
        <v/>
      </c>
      <c r="F42" s="42" t="str">
        <f aca="false">IF(OR($A42="",$D42=""),"",IF(ABS($E42)&lt;=PARÁMETROS!$B$32,"OK",IF(ABS($E42)&lt;=PARÁMETROS!$B$33,"REVISAR","ERROR")))</f>
        <v/>
      </c>
      <c r="G42" s="24"/>
    </row>
    <row r="43" customFormat="false" ht="15" hidden="false" customHeight="false" outlineLevel="0" collapsed="false">
      <c r="A43" s="24" t="str">
        <f aca="false">IF(SALDOS!A44="","",SALDOS!A44)</f>
        <v/>
      </c>
      <c r="B43" s="24" t="str">
        <f aca="false">IF(SALDOS!A44="","",SALDOS!B44)</f>
        <v/>
      </c>
      <c r="C43" s="25" t="str">
        <f aca="false">IF($A43="","",SALDOS!F44)</f>
        <v/>
      </c>
      <c r="D43" s="41"/>
      <c r="E43" s="25" t="str">
        <f aca="false">IF(OR($A43="",$D43=""),"",$D43-$C43)</f>
        <v/>
      </c>
      <c r="F43" s="42" t="str">
        <f aca="false">IF(OR($A43="",$D43=""),"",IF(ABS($E43)&lt;=PARÁMETROS!$B$32,"OK",IF(ABS($E43)&lt;=PARÁMETROS!$B$33,"REVISAR","ERROR")))</f>
        <v/>
      </c>
      <c r="G43" s="24"/>
    </row>
    <row r="44" customFormat="false" ht="15" hidden="false" customHeight="false" outlineLevel="0" collapsed="false">
      <c r="A44" s="24" t="str">
        <f aca="false">IF(SALDOS!A45="","",SALDOS!A45)</f>
        <v/>
      </c>
      <c r="B44" s="24" t="str">
        <f aca="false">IF(SALDOS!A45="","",SALDOS!B45)</f>
        <v/>
      </c>
      <c r="C44" s="25" t="str">
        <f aca="false">IF($A44="","",SALDOS!F45)</f>
        <v/>
      </c>
      <c r="D44" s="41"/>
      <c r="E44" s="25" t="str">
        <f aca="false">IF(OR($A44="",$D44=""),"",$D44-$C44)</f>
        <v/>
      </c>
      <c r="F44" s="42" t="str">
        <f aca="false">IF(OR($A44="",$D44=""),"",IF(ABS($E44)&lt;=PARÁMETROS!$B$32,"OK",IF(ABS($E44)&lt;=PARÁMETROS!$B$33,"REVISAR","ERROR")))</f>
        <v/>
      </c>
      <c r="G44" s="24"/>
    </row>
    <row r="45" customFormat="false" ht="15" hidden="false" customHeight="false" outlineLevel="0" collapsed="false">
      <c r="A45" s="24" t="str">
        <f aca="false">IF(SALDOS!A46="","",SALDOS!A46)</f>
        <v/>
      </c>
      <c r="B45" s="24" t="str">
        <f aca="false">IF(SALDOS!A46="","",SALDOS!B46)</f>
        <v/>
      </c>
      <c r="C45" s="25" t="str">
        <f aca="false">IF($A45="","",SALDOS!F46)</f>
        <v/>
      </c>
      <c r="D45" s="41"/>
      <c r="E45" s="25" t="str">
        <f aca="false">IF(OR($A45="",$D45=""),"",$D45-$C45)</f>
        <v/>
      </c>
      <c r="F45" s="42" t="str">
        <f aca="false">IF(OR($A45="",$D45=""),"",IF(ABS($E45)&lt;=PARÁMETROS!$B$32,"OK",IF(ABS($E45)&lt;=PARÁMETROS!$B$33,"REVISAR","ERROR")))</f>
        <v/>
      </c>
      <c r="G45" s="24"/>
    </row>
    <row r="46" customFormat="false" ht="15" hidden="false" customHeight="false" outlineLevel="0" collapsed="false">
      <c r="A46" s="24" t="str">
        <f aca="false">IF(SALDOS!A47="","",SALDOS!A47)</f>
        <v/>
      </c>
      <c r="B46" s="24" t="str">
        <f aca="false">IF(SALDOS!A47="","",SALDOS!B47)</f>
        <v/>
      </c>
      <c r="C46" s="25" t="str">
        <f aca="false">IF($A46="","",SALDOS!F47)</f>
        <v/>
      </c>
      <c r="D46" s="41"/>
      <c r="E46" s="25" t="str">
        <f aca="false">IF(OR($A46="",$D46=""),"",$D46-$C46)</f>
        <v/>
      </c>
      <c r="F46" s="42" t="str">
        <f aca="false">IF(OR($A46="",$D46=""),"",IF(ABS($E46)&lt;=PARÁMETROS!$B$32,"OK",IF(ABS($E46)&lt;=PARÁMETROS!$B$33,"REVISAR","ERROR")))</f>
        <v/>
      </c>
      <c r="G46" s="24"/>
    </row>
    <row r="47" customFormat="false" ht="15" hidden="false" customHeight="false" outlineLevel="0" collapsed="false">
      <c r="A47" s="24" t="str">
        <f aca="false">IF(SALDOS!A48="","",SALDOS!A48)</f>
        <v/>
      </c>
      <c r="B47" s="24" t="str">
        <f aca="false">IF(SALDOS!A48="","",SALDOS!B48)</f>
        <v/>
      </c>
      <c r="C47" s="25" t="str">
        <f aca="false">IF($A47="","",SALDOS!F48)</f>
        <v/>
      </c>
      <c r="D47" s="41"/>
      <c r="E47" s="25" t="str">
        <f aca="false">IF(OR($A47="",$D47=""),"",$D47-$C47)</f>
        <v/>
      </c>
      <c r="F47" s="42" t="str">
        <f aca="false">IF(OR($A47="",$D47=""),"",IF(ABS($E47)&lt;=PARÁMETROS!$B$32,"OK",IF(ABS($E47)&lt;=PARÁMETROS!$B$33,"REVISAR","ERROR")))</f>
        <v/>
      </c>
      <c r="G47" s="24"/>
    </row>
    <row r="48" customFormat="false" ht="15" hidden="false" customHeight="false" outlineLevel="0" collapsed="false">
      <c r="A48" s="24" t="str">
        <f aca="false">IF(SALDOS!A49="","",SALDOS!A49)</f>
        <v/>
      </c>
      <c r="B48" s="24" t="str">
        <f aca="false">IF(SALDOS!A49="","",SALDOS!B49)</f>
        <v/>
      </c>
      <c r="C48" s="25" t="str">
        <f aca="false">IF($A48="","",SALDOS!F49)</f>
        <v/>
      </c>
      <c r="D48" s="41"/>
      <c r="E48" s="25" t="str">
        <f aca="false">IF(OR($A48="",$D48=""),"",$D48-$C48)</f>
        <v/>
      </c>
      <c r="F48" s="42" t="str">
        <f aca="false">IF(OR($A48="",$D48=""),"",IF(ABS($E48)&lt;=PARÁMETROS!$B$32,"OK",IF(ABS($E48)&lt;=PARÁMETROS!$B$33,"REVISAR","ERROR")))</f>
        <v/>
      </c>
      <c r="G48" s="24"/>
    </row>
    <row r="49" customFormat="false" ht="15" hidden="false" customHeight="false" outlineLevel="0" collapsed="false">
      <c r="A49" s="24" t="str">
        <f aca="false">IF(SALDOS!A50="","",SALDOS!A50)</f>
        <v/>
      </c>
      <c r="B49" s="24" t="str">
        <f aca="false">IF(SALDOS!A50="","",SALDOS!B50)</f>
        <v/>
      </c>
      <c r="C49" s="25" t="str">
        <f aca="false">IF($A49="","",SALDOS!F50)</f>
        <v/>
      </c>
      <c r="D49" s="41"/>
      <c r="E49" s="25" t="str">
        <f aca="false">IF(OR($A49="",$D49=""),"",$D49-$C49)</f>
        <v/>
      </c>
      <c r="F49" s="42" t="str">
        <f aca="false">IF(OR($A49="",$D49=""),"",IF(ABS($E49)&lt;=PARÁMETROS!$B$32,"OK",IF(ABS($E49)&lt;=PARÁMETROS!$B$33,"REVISAR","ERROR")))</f>
        <v/>
      </c>
      <c r="G49" s="24"/>
    </row>
    <row r="50" customFormat="false" ht="15" hidden="false" customHeight="false" outlineLevel="0" collapsed="false">
      <c r="A50" s="24" t="str">
        <f aca="false">IF(SALDOS!A51="","",SALDOS!A51)</f>
        <v/>
      </c>
      <c r="B50" s="24" t="str">
        <f aca="false">IF(SALDOS!A51="","",SALDOS!B51)</f>
        <v/>
      </c>
      <c r="C50" s="25" t="str">
        <f aca="false">IF($A50="","",SALDOS!F51)</f>
        <v/>
      </c>
      <c r="D50" s="41"/>
      <c r="E50" s="25" t="str">
        <f aca="false">IF(OR($A50="",$D50=""),"",$D50-$C50)</f>
        <v/>
      </c>
      <c r="F50" s="42" t="str">
        <f aca="false">IF(OR($A50="",$D50=""),"",IF(ABS($E50)&lt;=PARÁMETROS!$B$32,"OK",IF(ABS($E50)&lt;=PARÁMETROS!$B$33,"REVISAR","ERROR")))</f>
        <v/>
      </c>
      <c r="G50" s="24"/>
    </row>
    <row r="51" customFormat="false" ht="15" hidden="false" customHeight="false" outlineLevel="0" collapsed="false">
      <c r="A51" s="24" t="str">
        <f aca="false">IF(SALDOS!A52="","",SALDOS!A52)</f>
        <v/>
      </c>
      <c r="B51" s="24" t="str">
        <f aca="false">IF(SALDOS!A52="","",SALDOS!B52)</f>
        <v/>
      </c>
      <c r="C51" s="25" t="str">
        <f aca="false">IF($A51="","",SALDOS!F52)</f>
        <v/>
      </c>
      <c r="D51" s="41"/>
      <c r="E51" s="25" t="str">
        <f aca="false">IF(OR($A51="",$D51=""),"",$D51-$C51)</f>
        <v/>
      </c>
      <c r="F51" s="42" t="str">
        <f aca="false">IF(OR($A51="",$D51=""),"",IF(ABS($E51)&lt;=PARÁMETROS!$B$32,"OK",IF(ABS($E51)&lt;=PARÁMETROS!$B$33,"REVISAR","ERROR")))</f>
        <v/>
      </c>
      <c r="G51" s="24"/>
    </row>
    <row r="52" customFormat="false" ht="15" hidden="false" customHeight="false" outlineLevel="0" collapsed="false">
      <c r="A52" s="24" t="str">
        <f aca="false">IF(SALDOS!A53="","",SALDOS!A53)</f>
        <v/>
      </c>
      <c r="B52" s="24" t="str">
        <f aca="false">IF(SALDOS!A53="","",SALDOS!B53)</f>
        <v/>
      </c>
      <c r="C52" s="25" t="str">
        <f aca="false">IF($A52="","",SALDOS!F53)</f>
        <v/>
      </c>
      <c r="D52" s="41"/>
      <c r="E52" s="25" t="str">
        <f aca="false">IF(OR($A52="",$D52=""),"",$D52-$C52)</f>
        <v/>
      </c>
      <c r="F52" s="42" t="str">
        <f aca="false">IF(OR($A52="",$D52=""),"",IF(ABS($E52)&lt;=PARÁMETROS!$B$32,"OK",IF(ABS($E52)&lt;=PARÁMETROS!$B$33,"REVISAR","ERROR")))</f>
        <v/>
      </c>
      <c r="G52" s="24"/>
    </row>
    <row r="53" customFormat="false" ht="15" hidden="false" customHeight="false" outlineLevel="0" collapsed="false">
      <c r="A53" s="24" t="str">
        <f aca="false">IF(SALDOS!A54="","",SALDOS!A54)</f>
        <v/>
      </c>
      <c r="B53" s="24" t="str">
        <f aca="false">IF(SALDOS!A54="","",SALDOS!B54)</f>
        <v/>
      </c>
      <c r="C53" s="25" t="str">
        <f aca="false">IF($A53="","",SALDOS!F54)</f>
        <v/>
      </c>
      <c r="D53" s="41"/>
      <c r="E53" s="25" t="str">
        <f aca="false">IF(OR($A53="",$D53=""),"",$D53-$C53)</f>
        <v/>
      </c>
      <c r="F53" s="42" t="str">
        <f aca="false">IF(OR($A53="",$D53=""),"",IF(ABS($E53)&lt;=PARÁMETROS!$B$32,"OK",IF(ABS($E53)&lt;=PARÁMETROS!$B$33,"REVISAR","ERROR")))</f>
        <v/>
      </c>
      <c r="G53" s="24"/>
    </row>
  </sheetData>
  <mergeCells count="1">
    <mergeCell ref="A1:G1"/>
  </mergeCells>
  <conditionalFormatting sqref="F4:F53">
    <cfRule type="cellIs" priority="2" operator="equal" aboveAverage="0" equalAverage="0" bottom="0" percent="0" rank="0" text="" dxfId="1">
      <formula>"OK"</formula>
    </cfRule>
    <cfRule type="cellIs" priority="3" operator="equal" aboveAverage="0" equalAverage="0" bottom="0" percent="0" rank="0" text="" dxfId="2">
      <formula>"REVISAR"</formula>
    </cfRule>
    <cfRule type="cellIs" priority="4" operator="equal" aboveAverage="0" equalAverage="0" bottom="0" percent="0" rank="0" text="" dxfId="0">
      <formula>"ERROR"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2026-08-05T22:56:34Z</dcterms:created>
  <dc:creator>openpyxl</dc:creator>
  <dc:description/>
  <dc:language>en-US</dc:language>
  <cp:lastModifiedBy/>
  <dcterms:modified xsi:type="dcterms:W3CDTF">2026-08-05T22:56:34Z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